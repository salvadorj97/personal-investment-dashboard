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Salvador\Desktop\"/>
    </mc:Choice>
  </mc:AlternateContent>
  <xr:revisionPtr revIDLastSave="0" documentId="13_ncr:1_{4D70F488-B124-47A1-953E-38139C64A591}" xr6:coauthVersionLast="47" xr6:coauthVersionMax="47" xr10:uidLastSave="{00000000-0000-0000-0000-000000000000}"/>
  <bookViews>
    <workbookView xWindow="-110" yWindow="-110" windowWidth="21820" windowHeight="13900" activeTab="1" xr2:uid="{3DCD9413-6638-49DB-9C51-B5DA111BE021}"/>
  </bookViews>
  <sheets>
    <sheet name="📋 Instructions" sheetId="2" r:id="rId1"/>
    <sheet name="⚡ Quick Entry" sheetId="3" r:id="rId2"/>
    <sheet name="Dim_Assets" sheetId="4" r:id="rId3"/>
    <sheet name="Dim_FXRates" sheetId="5" r:id="rId4"/>
    <sheet name="Fact_Transactions" sheetId="6" r:id="rId5"/>
    <sheet name="Fact_CurrentPrices" sheetId="7" r:id="rId6"/>
    <sheet name="Fact_Dividends" sheetId="8" r:id="rId7"/>
    <sheet name="Fact_FixedIncome" sheetId="9" r:id="rId8"/>
    <sheet name="Fact_PortfolioSnapshot" sheetId="10" r:id="rId9"/>
    <sheet name="Fact_FXTransactions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0" l="1"/>
  <c r="H5" i="10"/>
  <c r="H4" i="10"/>
  <c r="H3" i="10"/>
  <c r="H2" i="10"/>
  <c r="I4" i="9"/>
  <c r="A4" i="9"/>
  <c r="I3" i="9"/>
  <c r="A3" i="9"/>
  <c r="I2" i="9"/>
  <c r="A2" i="9"/>
  <c r="V3" i="8"/>
  <c r="Q3" i="8"/>
  <c r="M3" i="8"/>
  <c r="A3" i="8"/>
  <c r="V2" i="8"/>
  <c r="Q2" i="8"/>
  <c r="M2" i="8"/>
  <c r="A2" i="8"/>
  <c r="I3" i="7"/>
  <c r="G3" i="7"/>
  <c r="A3" i="7"/>
  <c r="I2" i="7"/>
  <c r="G2" i="7"/>
  <c r="A2" i="7"/>
  <c r="X3" i="6"/>
  <c r="O3" i="6"/>
  <c r="S3" i="6" s="1"/>
  <c r="M3" i="6"/>
  <c r="A3" i="6"/>
  <c r="X2" i="6"/>
  <c r="O2" i="6"/>
  <c r="S2" i="6" s="1"/>
  <c r="M2" i="6"/>
  <c r="A2" i="6"/>
  <c r="F2" i="3"/>
  <c r="A12" i="3" s="1"/>
  <c r="E3" i="3"/>
  <c r="K12" i="3" s="1"/>
  <c r="F3" i="3"/>
  <c r="X12" i="3" s="1"/>
  <c r="E4" i="3"/>
  <c r="M12" i="3" s="1"/>
  <c r="E5" i="3"/>
  <c r="E6" i="3"/>
  <c r="E7" i="3"/>
  <c r="P12" i="3" s="1"/>
  <c r="E8" i="3"/>
  <c r="E9" i="3"/>
  <c r="T12" i="3" s="1"/>
  <c r="B12" i="3"/>
  <c r="C12" i="3"/>
  <c r="D12" i="3"/>
  <c r="E12" i="3"/>
  <c r="F12" i="3"/>
  <c r="G12" i="3"/>
  <c r="H12" i="3"/>
  <c r="I12" i="3"/>
  <c r="J12" i="3"/>
  <c r="L12" i="3"/>
  <c r="Q12" i="3"/>
  <c r="U12" i="3"/>
  <c r="V12" i="3"/>
  <c r="W12" i="3"/>
  <c r="E18" i="3"/>
  <c r="E19" i="3"/>
  <c r="E20" i="3"/>
  <c r="E21" i="3"/>
  <c r="E22" i="3"/>
  <c r="E23" i="3"/>
  <c r="R28" i="3" s="1"/>
  <c r="E24" i="3"/>
  <c r="A28" i="3" s="1"/>
  <c r="E25" i="3"/>
  <c r="V28" i="3" s="1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T28" i="3"/>
  <c r="U28" i="3"/>
  <c r="P3" i="8" l="1"/>
  <c r="R3" i="8" s="1"/>
  <c r="T3" i="8" s="1"/>
  <c r="O3" i="8"/>
  <c r="P2" i="8"/>
  <c r="R2" i="8" s="1"/>
  <c r="T2" i="8" s="1"/>
  <c r="O2" i="8"/>
  <c r="Q3" i="6"/>
  <c r="N3" i="6"/>
  <c r="Q2" i="6"/>
  <c r="N2" i="6"/>
  <c r="N12" i="3"/>
  <c r="R12" i="3"/>
  <c r="O12" i="3"/>
  <c r="S12" i="3"/>
  <c r="R3" i="6" l="1"/>
  <c r="P3" i="6"/>
  <c r="T3" i="6" s="1"/>
  <c r="R2" i="6"/>
  <c r="P2" i="6"/>
  <c r="T2" i="6" s="1"/>
</calcChain>
</file>

<file path=xl/sharedStrings.xml><?xml version="1.0" encoding="utf-8"?>
<sst xmlns="http://schemas.openxmlformats.org/spreadsheetml/2006/main" count="255" uniqueCount="177">
  <si>
    <t>PERSONAL INVESTMENT DASHBOARD — Excel Template</t>
  </si>
  <si>
    <t>HOW TO USE THIS FILE</t>
  </si>
  <si>
    <t>1. Use the ⚡ Quick Entry sheet to capture transactions and dividends fast.</t>
  </si>
  <si>
    <t>2. Each sheet is an Excel Table that Power BI connects to automatically.</t>
  </si>
  <si>
    <t>3. Do NOT rename sheets or column headers — Power BI references them by name.</t>
  </si>
  <si>
    <t>4. AssetKey format: TICKER_MARKET   (e.g. AAPL_US, WALMEX_MX)</t>
  </si>
  <si>
    <t>5. Dates must be in YYYY-MM-DD format.</t>
  </si>
  <si>
    <t>6. FXRate_to_MXN: use 1 for MXN-denominated assets.</t>
  </si>
  <si>
    <t>7. Green cells = auto-calculated. Do NOT overwrite them.</t>
  </si>
  <si>
    <t>8. Blue cells = fields you fill in manually.</t>
  </si>
  <si>
    <t>SHEETS</t>
  </si>
  <si>
    <t>⚡ Quick Entry          → Fast capture for transactions and dividends</t>
  </si>
  <si>
    <t>🏷️ Dim_Assets           → One row per asset (metadata)</t>
  </si>
  <si>
    <t>💱 Dim_FXRates          → Monthly exchange rates</t>
  </si>
  <si>
    <t>💼 Fact_Transactions    → Every buy and sell</t>
  </si>
  <si>
    <t>📈 Fact_CurrentPrices   → Current market prices (update regularly)</t>
  </si>
  <si>
    <t>💰 Fact_Dividends       → Every dividend received</t>
  </si>
  <si>
    <t>🏦 Fact_FixedIncome     → Fixed income instruments</t>
  </si>
  <si>
    <t>📸 Fact_PortfolioSnapshot → Monthly net worth snapshot</t>
  </si>
  <si>
    <t>💱 Fact_FXTransactions  → Currency purchases</t>
  </si>
  <si>
    <t>COLOR LEGEND</t>
  </si>
  <si>
    <t>Blue  = you fill this in</t>
  </si>
  <si>
    <t>Green = auto-calculated formula — do not overwrite</t>
  </si>
  <si>
    <t>Yellow = output row — copy to main table</t>
  </si>
  <si>
    <t>Yes</t>
  </si>
  <si>
    <t>▼  COPY THIS ROW TO Fact_Dividends  ▼</t>
  </si>
  <si>
    <t>📌 AssetKey</t>
  </si>
  <si>
    <t>📝 Notes (optional)</t>
  </si>
  <si>
    <t>🔑 DividendID</t>
  </si>
  <si>
    <t>💱 FX Rate to MXN</t>
  </si>
  <si>
    <t>📊 Net (MXN)</t>
  </si>
  <si>
    <t>🏛️ Withholding Tax (local)</t>
  </si>
  <si>
    <t>📊 WHT (MXN)</t>
  </si>
  <si>
    <t>💰 Gross Dividend (local)</t>
  </si>
  <si>
    <t>📊 Gross (MXN)</t>
  </si>
  <si>
    <t>🔢 Shares Held</t>
  </si>
  <si>
    <t>📊 Net (local)</t>
  </si>
  <si>
    <t>📂 Dividend Type</t>
  </si>
  <si>
    <t>📊 Div per Share</t>
  </si>
  <si>
    <t>🌐 Market  (MX / US)</t>
  </si>
  <si>
    <t>💰 Currency</t>
  </si>
  <si>
    <t>📌 Ticker / AssetName</t>
  </si>
  <si>
    <t>GBM</t>
  </si>
  <si>
    <t>🏢 Broker</t>
  </si>
  <si>
    <t>📅 Date (YYYY-MM-DD)</t>
  </si>
  <si>
    <t>➋  QUICK ENTRY — DIVIDEND  (copy yellow row to Fact_Dividends)</t>
  </si>
  <si>
    <t>▼  COPY THIS ROW TO Fact_Transactions  ▼</t>
  </si>
  <si>
    <t>💲 Price per unit (local)</t>
  </si>
  <si>
    <t>📊 Taxes (local)</t>
  </si>
  <si>
    <t>🔢 Quantity</t>
  </si>
  <si>
    <t>📊 Commission (local)</t>
  </si>
  <si>
    <t>🔄 Type  (Buy / Sell)</t>
  </si>
  <si>
    <t>Active</t>
  </si>
  <si>
    <t>📊 Gross (local)</t>
  </si>
  <si>
    <t>📌 Ticker</t>
  </si>
  <si>
    <t>➊  QUICK ENTRY — TRANSACTION  (copy yellow row to Fact_Transactions)</t>
  </si>
  <si>
    <t>Ticker</t>
  </si>
  <si>
    <t>AssetName</t>
  </si>
  <si>
    <t>AssetClass</t>
  </si>
  <si>
    <t>AssetSubClass</t>
  </si>
  <si>
    <t>Sector</t>
  </si>
  <si>
    <t>Industry</t>
  </si>
  <si>
    <t>Country</t>
  </si>
  <si>
    <t>Region</t>
  </si>
  <si>
    <t>BaseCurrency</t>
  </si>
  <si>
    <t>ExposureCurrency</t>
  </si>
  <si>
    <t>IncomeType</t>
  </si>
  <si>
    <t>IsDividendPaying</t>
  </si>
  <si>
    <t>GrowthProfile</t>
  </si>
  <si>
    <t>RiskLevel</t>
  </si>
  <si>
    <t>PortfolioType</t>
  </si>
  <si>
    <t>Status</t>
  </si>
  <si>
    <t>AssetKey</t>
  </si>
  <si>
    <t>VOO</t>
  </si>
  <si>
    <t>Vanguard S&amp;P 500 ETF</t>
  </si>
  <si>
    <t>ETF</t>
  </si>
  <si>
    <t>Index ETF</t>
  </si>
  <si>
    <t>Broad Market</t>
  </si>
  <si>
    <t>United States</t>
  </si>
  <si>
    <t>North America</t>
  </si>
  <si>
    <t>USD</t>
  </si>
  <si>
    <t>Dividend</t>
  </si>
  <si>
    <t>Balanced</t>
  </si>
  <si>
    <t>Medium</t>
  </si>
  <si>
    <t>Investment</t>
  </si>
  <si>
    <t>VOO_US</t>
  </si>
  <si>
    <t>⬆️ Example row (yellow). Add your own assets below. Do not delete or rename columns.</t>
  </si>
  <si>
    <t>FXDate</t>
  </si>
  <si>
    <t>CurrencyCode</t>
  </si>
  <si>
    <t>RateToMXN</t>
  </si>
  <si>
    <t>2026-06-30</t>
  </si>
  <si>
    <t>EUR</t>
  </si>
  <si>
    <t>GBP</t>
  </si>
  <si>
    <t>2026-05-31</t>
  </si>
  <si>
    <t>⬆️ Add one row per currency per month-end. Used to convert portfolio totals to USD/EUR in Power BI.</t>
  </si>
  <si>
    <t>TransactionID</t>
  </si>
  <si>
    <t>TransactionDateTime</t>
  </si>
  <si>
    <t>TransactionDate</t>
  </si>
  <si>
    <t>Broker</t>
  </si>
  <si>
    <t>Market</t>
  </si>
  <si>
    <t>TransactionType</t>
  </si>
  <si>
    <t>Quantity</t>
  </si>
  <si>
    <t>PricePerUnit_Local</t>
  </si>
  <si>
    <t>TransactionCurrency</t>
  </si>
  <si>
    <t>FXRate_to_MXN</t>
  </si>
  <si>
    <t>GrossAmount_Local</t>
  </si>
  <si>
    <t>Commission_Local</t>
  </si>
  <si>
    <t>Taxes_Local</t>
  </si>
  <si>
    <t>NetAmount_Local</t>
  </si>
  <si>
    <t>GrossAmount_MXN</t>
  </si>
  <si>
    <t>Commission_MXN</t>
  </si>
  <si>
    <t>Taxes_MXN</t>
  </si>
  <si>
    <t>NetAmount_MXN</t>
  </si>
  <si>
    <t>OrderSource</t>
  </si>
  <si>
    <t>Notes</t>
  </si>
  <si>
    <t>01 Jun 2026 - 10:30 h</t>
  </si>
  <si>
    <t>US</t>
  </si>
  <si>
    <t>Buy</t>
  </si>
  <si>
    <t>GBM App</t>
  </si>
  <si>
    <t>First VOO purchase</t>
  </si>
  <si>
    <t>⬆️ Row 2 = template with formulas (copy down for each transaction). Row 3 = example with real values.</t>
  </si>
  <si>
    <t>PriceCurrency</t>
  </si>
  <si>
    <t>PriceDate</t>
  </si>
  <si>
    <t>CurrentPrice_Local</t>
  </si>
  <si>
    <t>CurrentPrice_MXN</t>
  </si>
  <si>
    <t>⬆️ Row 2 = template. Row 3 = example. Fill Ticker, AssetName, Market, FXRate, CurrentPrice_Local and Status.</t>
  </si>
  <si>
    <t>DividendID</t>
  </si>
  <si>
    <t>DividendDateTime</t>
  </si>
  <si>
    <t>DividendDate</t>
  </si>
  <si>
    <t>SharesHeld</t>
  </si>
  <si>
    <t>DividendType</t>
  </si>
  <si>
    <t>DividendPerShare_Local</t>
  </si>
  <si>
    <t>DividendCurrency</t>
  </si>
  <si>
    <t>GrossDividend_Local</t>
  </si>
  <si>
    <t>WithholdingTax_Local</t>
  </si>
  <si>
    <t>NetDividend_Local</t>
  </si>
  <si>
    <t>GrossDividend_MXN</t>
  </si>
  <si>
    <t>WithholdingTax_MXN</t>
  </si>
  <si>
    <t>NetDividend_MXN</t>
  </si>
  <si>
    <t>ReinvestedFlag</t>
  </si>
  <si>
    <t>ReinvestedAmount_MXN</t>
  </si>
  <si>
    <t>30 Jun 2026 - 14:00 h</t>
  </si>
  <si>
    <t>Cash Dividend</t>
  </si>
  <si>
    <t>Q2 2026 dividend — 10% WHT (W-8BEN)</t>
  </si>
  <si>
    <t>⬆️ Row 2 = template. Row 3 = example. Fill WithholdingTax_Local (col N) manually — get it from your broker statement.</t>
  </si>
  <si>
    <t>StartDate</t>
  </si>
  <si>
    <t>EndDate</t>
  </si>
  <si>
    <t>Principal_MXN</t>
  </si>
  <si>
    <t>AnnualRate</t>
  </si>
  <si>
    <t>PaymentFrequency</t>
  </si>
  <si>
    <t>InverFin</t>
  </si>
  <si>
    <t>MX</t>
  </si>
  <si>
    <t>Monthly</t>
  </si>
  <si>
    <t>AhorroFlex</t>
  </si>
  <si>
    <t>Daily</t>
  </si>
  <si>
    <t>Update balance monthly — mark latest row Active</t>
  </si>
  <si>
    <t>⬆️ Row 2 = template. Rows 3-4 = examples (SOFIPO with fixed term + digital savings with monthly balance update).</t>
  </si>
  <si>
    <t>SnapshotDate</t>
  </si>
  <si>
    <t>AssetGroup</t>
  </si>
  <si>
    <t>Currency</t>
  </si>
  <si>
    <t>Value_Local</t>
  </si>
  <si>
    <t>Value_MXN</t>
  </si>
  <si>
    <t>Equities</t>
  </si>
  <si>
    <t>Fixed Income</t>
  </si>
  <si>
    <t>MXN</t>
  </si>
  <si>
    <t>Savings</t>
  </si>
  <si>
    <t>Cash</t>
  </si>
  <si>
    <t>Cash MXN</t>
  </si>
  <si>
    <t>⬆️ Record at month-end. One row per asset per month. Value_MXN auto-calculates from FXRate × Value_Local.</t>
  </si>
  <si>
    <t>FXTransactionDate</t>
  </si>
  <si>
    <t>CurrencyBought</t>
  </si>
  <si>
    <t>AmountCurrency</t>
  </si>
  <si>
    <t>MXN_Paid</t>
  </si>
  <si>
    <t>FXRate</t>
  </si>
  <si>
    <t>Purchase for VOO buy</t>
  </si>
  <si>
    <t>Purchase for MSFT buy</t>
  </si>
  <si>
    <t>⬆️ Row 2 = template. Rows 3-4 = examples.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</si>
</sst>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.000000"/>
    <numFmt numFmtId="165" formatCode="0.0000"/>
    <numFmt numFmtId="166" formatCode="yyyy\-mm\-dd"/>
    <numFmt numFmtId="167" formatCode="mm/dd/yy"/>
  </numFmts>
  <fonts count="12" x14ac:knownFonts="1">
    <font>
      <sz val="11"/>
      <color theme="1"/>
      <name val="Aptos Narrow"/>
      <family val="2"/>
      <charset val="134"/>
      <scheme val="minor"/>
    </font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b/>
      <sz val="11"/>
      <color rgb="FF1F3864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  <font>
      <sz val="10"/>
      <color rgb="FF2F5496"/>
      <name val="Arial"/>
      <family val="2"/>
    </font>
    <font>
      <b/>
      <sz val="9"/>
      <color rgb="FF1F3864"/>
      <name val="Arial"/>
      <family val="2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  <font>
      <i/>
      <sz val="10"/>
      <color rgb="FF7F6000"/>
      <name val="Arial"/>
      <family val="2"/>
    </font>
    <font>
      <i/>
      <sz val="10"/>
      <color rgb="FF2F549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EEFF"/>
        <bgColor rgb="FFD9E1F2"/>
      </patternFill>
    </fill>
    <fill>
      <patternFill patternType="solid">
        <fgColor rgb="FFE2EFDA"/>
        <bgColor rgb="FFDDEEFF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DDEEFF"/>
      </patternFill>
    </fill>
    <fill>
      <patternFill patternType="solid">
        <fgColor rgb="FF1F3864"/>
        <bgColor rgb="FF2F549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1" applyFont="1" applyAlignment="1">
      <alignment horizontal="left" vertical="center"/>
    </xf>
    <xf numFmtId="0" fontId="1" fillId="0" borderId="0" xfId="1"/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2" borderId="0" xfId="1" applyFont="1" applyFill="1"/>
    <xf numFmtId="0" fontId="4" fillId="3" borderId="0" xfId="1" applyFont="1" applyFill="1"/>
    <xf numFmtId="0" fontId="4" fillId="4" borderId="0" xfId="1" applyFont="1" applyFill="1"/>
    <xf numFmtId="0" fontId="5" fillId="4" borderId="1" xfId="1" applyFont="1" applyFill="1" applyBorder="1" applyAlignment="1">
      <alignment horizontal="left" vertical="center"/>
    </xf>
    <xf numFmtId="4" fontId="5" fillId="4" borderId="1" xfId="1" applyNumberFormat="1" applyFont="1" applyFill="1" applyBorder="1" applyAlignment="1">
      <alignment horizontal="left" vertical="center"/>
    </xf>
    <xf numFmtId="164" fontId="5" fillId="4" borderId="1" xfId="1" applyNumberFormat="1" applyFont="1" applyFill="1" applyBorder="1" applyAlignment="1">
      <alignment horizontal="left" vertical="center"/>
    </xf>
    <xf numFmtId="165" fontId="5" fillId="4" borderId="1" xfId="1" applyNumberFormat="1" applyFont="1" applyFill="1" applyBorder="1" applyAlignment="1">
      <alignment horizontal="left" vertical="center"/>
    </xf>
    <xf numFmtId="166" fontId="5" fillId="4" borderId="1" xfId="1" applyNumberFormat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left" vertical="center"/>
    </xf>
    <xf numFmtId="0" fontId="7" fillId="5" borderId="1" xfId="1" applyFont="1" applyFill="1" applyBorder="1" applyAlignment="1">
      <alignment horizontal="right" vertical="center"/>
    </xf>
    <xf numFmtId="0" fontId="4" fillId="2" borderId="1" xfId="1" applyFont="1" applyFill="1" applyBorder="1" applyAlignment="1">
      <alignment horizontal="left" vertical="center"/>
    </xf>
    <xf numFmtId="165" fontId="4" fillId="2" borderId="1" xfId="1" applyNumberFormat="1" applyFont="1" applyFill="1" applyBorder="1" applyAlignment="1">
      <alignment horizontal="left" vertical="center"/>
    </xf>
    <xf numFmtId="164" fontId="4" fillId="2" borderId="1" xfId="1" applyNumberFormat="1" applyFont="1" applyFill="1" applyBorder="1" applyAlignment="1">
      <alignment horizontal="left" vertical="center"/>
    </xf>
    <xf numFmtId="166" fontId="4" fillId="2" borderId="1" xfId="1" applyNumberFormat="1" applyFont="1" applyFill="1" applyBorder="1" applyAlignment="1">
      <alignment horizontal="left" vertical="center"/>
    </xf>
    <xf numFmtId="0" fontId="8" fillId="6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left" vertical="center"/>
    </xf>
    <xf numFmtId="0" fontId="9" fillId="0" borderId="0" xfId="1" applyFont="1"/>
    <xf numFmtId="0" fontId="10" fillId="4" borderId="1" xfId="1" applyFont="1" applyFill="1" applyBorder="1" applyAlignment="1">
      <alignment horizontal="left" vertical="center"/>
    </xf>
    <xf numFmtId="14" fontId="4" fillId="2" borderId="1" xfId="1" applyNumberFormat="1" applyFont="1" applyFill="1" applyBorder="1" applyAlignment="1">
      <alignment horizontal="left" vertical="center"/>
    </xf>
    <xf numFmtId="0" fontId="11" fillId="3" borderId="1" xfId="1" applyFont="1" applyFill="1" applyBorder="1" applyAlignment="1">
      <alignment horizontal="left" vertical="center"/>
    </xf>
    <xf numFmtId="166" fontId="10" fillId="4" borderId="1" xfId="1" applyNumberFormat="1" applyFont="1" applyFill="1" applyBorder="1" applyAlignment="1">
      <alignment horizontal="left" vertical="center"/>
    </xf>
    <xf numFmtId="164" fontId="10" fillId="4" borderId="1" xfId="1" applyNumberFormat="1" applyFont="1" applyFill="1" applyBorder="1" applyAlignment="1">
      <alignment horizontal="left" vertical="center"/>
    </xf>
    <xf numFmtId="164" fontId="11" fillId="3" borderId="1" xfId="1" applyNumberFormat="1" applyFont="1" applyFill="1" applyBorder="1" applyAlignment="1">
      <alignment horizontal="left" vertical="center"/>
    </xf>
    <xf numFmtId="4" fontId="11" fillId="3" borderId="1" xfId="1" applyNumberFormat="1" applyFont="1" applyFill="1" applyBorder="1" applyAlignment="1">
      <alignment horizontal="left" vertical="center"/>
    </xf>
    <xf numFmtId="167" fontId="6" fillId="3" borderId="1" xfId="1" applyNumberFormat="1" applyFont="1" applyFill="1" applyBorder="1" applyAlignment="1">
      <alignment horizontal="left" vertical="center"/>
    </xf>
    <xf numFmtId="165" fontId="10" fillId="4" borderId="1" xfId="1" applyNumberFormat="1" applyFont="1" applyFill="1" applyBorder="1" applyAlignment="1">
      <alignment horizontal="left" vertical="center"/>
    </xf>
    <xf numFmtId="167" fontId="11" fillId="3" borderId="1" xfId="1" applyNumberFormat="1" applyFont="1" applyFill="1" applyBorder="1" applyAlignment="1">
      <alignment horizontal="left" vertical="center"/>
    </xf>
    <xf numFmtId="4" fontId="10" fillId="4" borderId="1" xfId="1" applyNumberFormat="1" applyFont="1" applyFill="1" applyBorder="1" applyAlignment="1">
      <alignment horizontal="left" vertical="center"/>
    </xf>
    <xf numFmtId="10" fontId="10" fillId="4" borderId="1" xfId="1" applyNumberFormat="1" applyFont="1" applyFill="1" applyBorder="1" applyAlignment="1">
      <alignment horizontal="left" vertical="center"/>
    </xf>
    <xf numFmtId="0" fontId="8" fillId="6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EDF84CD8-01DA-47E2-9A85-EBDFB8B332EF}"/>
  </cellStyles>
  <dxfs count="2"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02E033BF-A61A-463E-9597-A18F67CB6B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C66B9-C397-46E1-AF8D-69A285019494}" name="Dim_Assets" displayName="Dim_Assets" ref="A1:Q2" totalsRowShown="0">
  <autoFilter ref="A1:Q2" xr:uid="{00000000-0009-0000-0100-000001000000}"/>
  <tableColumns count="17">
    <tableColumn id="1" xr3:uid="{73A5E656-AD7D-477D-90A0-739B6A78501E}" name="Ticker"/>
    <tableColumn id="2" xr3:uid="{F5496763-A858-4ED2-B103-CBC5E5090BCE}" name="AssetName"/>
    <tableColumn id="3" xr3:uid="{DF1B183A-06DA-4FE3-8C7F-FC6C161B2782}" name="AssetClass"/>
    <tableColumn id="4" xr3:uid="{E66D380F-2882-4F33-BF10-221CD9FF75E1}" name="AssetSubClass"/>
    <tableColumn id="5" xr3:uid="{ED4B864C-5FBD-41C9-8FCD-928C9FF2BC0A}" name="Sector"/>
    <tableColumn id="6" xr3:uid="{39042D36-9AF6-40F8-B7CD-53AAB9966932}" name="Industry"/>
    <tableColumn id="7" xr3:uid="{472174EE-9BE7-4D45-84D6-EBA28D562DEB}" name="Country"/>
    <tableColumn id="8" xr3:uid="{903E28D7-8B6C-434B-B346-099F18C20906}" name="Region"/>
    <tableColumn id="9" xr3:uid="{7CA37B34-E712-484B-90D9-A74E0659C2BF}" name="BaseCurrency"/>
    <tableColumn id="10" xr3:uid="{30081853-8122-44C5-90A4-D02096ECEB6E}" name="ExposureCurrency"/>
    <tableColumn id="11" xr3:uid="{569546C9-899F-49C7-B8D9-955BDD620AAA}" name="IncomeType"/>
    <tableColumn id="12" xr3:uid="{E3F8BA45-A3C2-4BD5-ADC6-0FBFA10ECFBD}" name="IsDividendPaying"/>
    <tableColumn id="13" xr3:uid="{E0AE4DCB-0E00-457B-929A-67D9F1E1CBD6}" name="GrowthProfile"/>
    <tableColumn id="14" xr3:uid="{3BF1A3F8-5ED5-47C6-AD8D-401F74CA415A}" name="RiskLevel"/>
    <tableColumn id="15" xr3:uid="{3C9BB7EE-B954-4C34-B091-6E79D9C15904}" name="PortfolioType"/>
    <tableColumn id="16" xr3:uid="{50F3A916-2139-4075-818B-46EA72A52547}" name="Status"/>
    <tableColumn id="17" xr3:uid="{87936435-5087-4D73-BEB9-D99E51119BB7}" name="AssetKe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F36FB0-A4AB-4D7F-9CD8-21216D789A5B}" name="Dim_FXRates" displayName="Dim_FXRates" ref="A1:C6" totalsRowShown="0">
  <autoFilter ref="A1:C6" xr:uid="{00000000-0009-0000-0100-000002000000}"/>
  <tableColumns count="3">
    <tableColumn id="1" xr3:uid="{249CB30A-29E8-4ABB-9A33-730296CDE47B}" name="FXDate"/>
    <tableColumn id="2" xr3:uid="{8FBCF46E-C46A-4C7B-BFB7-27AAAD2F0181}" name="CurrencyCode"/>
    <tableColumn id="3" xr3:uid="{67E7965C-2700-4A49-8374-6A207D62F57E}" name="RateToMX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721858-E3A2-4438-973E-77152A37DDEA}" name="Fact_Transactions" displayName="Fact_Transactions" ref="A1:X3" totalsRowShown="0">
  <autoFilter ref="A1:X3" xr:uid="{00000000-0009-0000-0100-000008000000}"/>
  <tableColumns count="24">
    <tableColumn id="1" xr3:uid="{22082EBF-9A2F-4BDE-B1A7-A7046D22B5B3}" name="TransactionID">
      <calculatedColumnFormula>"TXN-"&amp;TEXT(C2,"yyyymmdd")&amp;"-"&amp;TEXT(ROW()-1,"000")</calculatedColumnFormula>
    </tableColumn>
    <tableColumn id="2" xr3:uid="{E33EC537-573D-401F-A7FE-BC99A285F646}" name="TransactionDateTime"/>
    <tableColumn id="3" xr3:uid="{5301BC96-E5CB-4553-AD03-EE21AB3F4396}" name="TransactionDate"/>
    <tableColumn id="4" xr3:uid="{57BD900D-9910-4A16-99B4-74DC9F5C9E1F}" name="Ticker"/>
    <tableColumn id="5" xr3:uid="{33326CD4-6D7C-484E-9FE4-C0B38FDE602B}" name="AssetName"/>
    <tableColumn id="6" xr3:uid="{99AE8B54-65A6-44FE-AE8C-9FFD638A4340}" name="Broker"/>
    <tableColumn id="7" xr3:uid="{3AB6B8C8-4A8D-4062-AFA6-F803671188C8}" name="Market"/>
    <tableColumn id="8" xr3:uid="{1694F73D-9D47-4F11-9032-431919F13E0C}" name="TransactionType"/>
    <tableColumn id="9" xr3:uid="{3C2BAF70-7758-40F3-8697-41347EA926C5}" name="Quantity"/>
    <tableColumn id="10" xr3:uid="{1AB033BF-6C4C-4820-A3B2-9A4E0395E578}" name="PricePerUnit_Local"/>
    <tableColumn id="11" xr3:uid="{CC191709-20E1-40E1-B938-F8A738DB54A4}" name="TransactionCurrency"/>
    <tableColumn id="12" xr3:uid="{A6C625FF-FC0F-47DE-B4EF-8C6B3C90F8EF}" name="FXRate_to_MXN"/>
    <tableColumn id="13" xr3:uid="{3A295D07-380A-46F8-94E8-F2207F94B37A}" name="GrossAmount_Local">
      <calculatedColumnFormula>I2*J2</calculatedColumnFormula>
    </tableColumn>
    <tableColumn id="14" xr3:uid="{17EFB1EC-9CA5-40C4-834C-E774720434A8}" name="Commission_Local">
      <calculatedColumnFormula>M2*0.0025</calculatedColumnFormula>
    </tableColumn>
    <tableColumn id="15" xr3:uid="{D017DC71-08DD-45AA-98CA-E0C2FC186032}" name="Taxes_Local">
      <calculatedColumnFormula>IF(G2="MX",M2*0.0004,0)</calculatedColumnFormula>
    </tableColumn>
    <tableColumn id="16" xr3:uid="{83EE1383-7772-4959-B3D1-1DB8B1C315CC}" name="NetAmount_Local">
      <calculatedColumnFormula>M2+N2+O2</calculatedColumnFormula>
    </tableColumn>
    <tableColumn id="17" xr3:uid="{1EAF0CC2-FA7D-49A8-A1AF-2106B29F85D9}" name="GrossAmount_MXN">
      <calculatedColumnFormula>M2*L2</calculatedColumnFormula>
    </tableColumn>
    <tableColumn id="18" xr3:uid="{BD031C49-693F-4AB6-8723-693BA90AC9E0}" name="Commission_MXN">
      <calculatedColumnFormula>N2*L2</calculatedColumnFormula>
    </tableColumn>
    <tableColumn id="19" xr3:uid="{B1E8CD92-1D92-4794-89A3-00E643341369}" name="Taxes_MXN">
      <calculatedColumnFormula>O2*L2</calculatedColumnFormula>
    </tableColumn>
    <tableColumn id="20" xr3:uid="{1B9BB370-FDD1-4BBA-88C9-FC11911D2116}" name="NetAmount_MXN">
      <calculatedColumnFormula>P2*L2</calculatedColumnFormula>
    </tableColumn>
    <tableColumn id="21" xr3:uid="{E39051AE-A6A2-4086-9231-40736196708A}" name="OrderSource"/>
    <tableColumn id="22" xr3:uid="{6306518C-FE32-4B61-B01D-880D8742D9C3}" name="Status"/>
    <tableColumn id="23" xr3:uid="{6BE85BA2-C6F8-42B0-A48C-CAF829A932D6}" name="Notes"/>
    <tableColumn id="24" xr3:uid="{E8D7D4EB-6A5F-4DA9-B537-735841571435}" name="AssetKey" dataDxfId="1">
      <calculatedColumnFormula>D2&amp;"_"&amp;G2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8C3E14-EB74-4DD2-B5E5-D46003705067}" name="Fact_CurrentPrices" displayName="Fact_CurrentPrices" ref="A1:J3" totalsRowShown="0">
  <autoFilter ref="A1:J3" xr:uid="{00000000-0009-0000-0100-000003000000}"/>
  <tableColumns count="10">
    <tableColumn id="1" xr3:uid="{AB4EF05A-BAA7-46ED-95FD-FD9B7023FD00}" name="AssetKey">
      <calculatedColumnFormula>B2&amp;"_"&amp;D2</calculatedColumnFormula>
    </tableColumn>
    <tableColumn id="2" xr3:uid="{F30E30CE-390D-464A-9DB7-525B9E4B33A6}" name="Ticker"/>
    <tableColumn id="3" xr3:uid="{45FDE0CD-335A-438C-8838-B29279C00F41}" name="AssetName"/>
    <tableColumn id="4" xr3:uid="{6C6A35B1-83E5-4012-9B4D-49C8D7A300F1}" name="Market"/>
    <tableColumn id="5" xr3:uid="{ACA836E6-2928-4F07-903E-EFB0AD6AF13A}" name="PriceCurrency"/>
    <tableColumn id="6" xr3:uid="{2E05726E-2C35-4F8B-ABB5-C4F2152B1859}" name="FXRate_to_MXN"/>
    <tableColumn id="7" xr3:uid="{A24EB88B-7014-4B73-96A8-A49ED75C127C}" name="PriceDate">
      <calculatedColumnFormula>TODAY()</calculatedColumnFormula>
    </tableColumn>
    <tableColumn id="8" xr3:uid="{CFDCF40F-A6F2-4632-8612-18421106083E}" name="CurrentPrice_Local"/>
    <tableColumn id="9" xr3:uid="{FE0B58AF-E123-4882-8B88-6E3360610CB2}" name="CurrentPrice_MXN">
      <calculatedColumnFormula>F2*H2</calculatedColumnFormula>
    </tableColumn>
    <tableColumn id="10" xr3:uid="{10BB424B-31EB-41FC-B032-CF39B164BC01}" name="Statu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841491-5518-44E3-ADCD-8AA1D5B33BAD}" name="Fact_Dividends" displayName="Fact_Dividends" ref="A1:V3" totalsRowShown="0">
  <autoFilter ref="A1:V3" xr:uid="{00000000-0009-0000-0100-000004000000}"/>
  <tableColumns count="22">
    <tableColumn id="1" xr3:uid="{365C38AE-B626-4887-99D6-FDEB8EA6D882}" name="DividendID">
      <calculatedColumnFormula>"DIV-"&amp;TEXT(C2,"yyyymmdd")&amp;"-"&amp;TEXT(ROW()-1,"000")</calculatedColumnFormula>
    </tableColumn>
    <tableColumn id="2" xr3:uid="{4A2B0191-2FCE-407E-BBA7-2040B12C1B54}" name="DividendDateTime"/>
    <tableColumn id="3" xr3:uid="{F821A1C1-6B7E-492E-9098-A9E818993F89}" name="DividendDate"/>
    <tableColumn id="4" xr3:uid="{05785B39-55CF-4B06-B791-853A90EDCDE7}" name="Ticker"/>
    <tableColumn id="5" xr3:uid="{296B6058-B054-47D3-8CB6-E0207BF52605}" name="AssetName"/>
    <tableColumn id="6" xr3:uid="{20ADFB97-C658-44FB-90AB-EF9445C9244D}" name="Broker"/>
    <tableColumn id="7" xr3:uid="{5519CACD-F3ED-4825-BAE5-6C281F8B9698}" name="Market"/>
    <tableColumn id="8" xr3:uid="{A03F0E8E-4319-45F0-9F25-B4A5F1241BB7}" name="SharesHeld"/>
    <tableColumn id="9" xr3:uid="{33148D8F-0FFB-4802-A57E-7454F9D40E70}" name="DividendType"/>
    <tableColumn id="10" xr3:uid="{ECCF0615-971D-478C-99B0-A7E0B9A79746}" name="DividendPerShare_Local"/>
    <tableColumn id="11" xr3:uid="{E637FDCE-9C55-49DB-9806-EF78E66D9A83}" name="DividendCurrency"/>
    <tableColumn id="12" xr3:uid="{0392759A-1C48-4832-BEEC-2CA3A69CEE91}" name="FXRate_to_MXN"/>
    <tableColumn id="13" xr3:uid="{2AFAAFF4-2D24-43D6-9FC3-C3D7D6E638BC}" name="GrossDividend_Local">
      <calculatedColumnFormula>H2*J2</calculatedColumnFormula>
    </tableColumn>
    <tableColumn id="14" xr3:uid="{D98911E9-03BC-4CC4-A855-998C47ED4FB1}" name="WithholdingTax_Local"/>
    <tableColumn id="15" xr3:uid="{C2A3B84F-F91F-4018-AC83-1D25609573A8}" name="NetDividend_Local">
      <calculatedColumnFormula>M2-N2</calculatedColumnFormula>
    </tableColumn>
    <tableColumn id="16" xr3:uid="{A889B637-B601-43CA-832E-33C023D354A9}" name="GrossDividend_MXN">
      <calculatedColumnFormula>M2*L2</calculatedColumnFormula>
    </tableColumn>
    <tableColumn id="17" xr3:uid="{229FDFD9-0580-42E9-A1D1-5CBE835BF47B}" name="WithholdingTax_MXN">
      <calculatedColumnFormula>N2*L2</calculatedColumnFormula>
    </tableColumn>
    <tableColumn id="18" xr3:uid="{932E93E2-3F07-49AC-9F6E-ED077984B470}" name="NetDividend_MXN">
      <calculatedColumnFormula>P2-Q2</calculatedColumnFormula>
    </tableColumn>
    <tableColumn id="19" xr3:uid="{C8BA6DA4-D764-4F1D-ACEF-002B53464D9D}" name="ReinvestedFlag"/>
    <tableColumn id="20" xr3:uid="{768991CB-08ED-460A-8440-93006856DE9A}" name="ReinvestedAmount_MXN">
      <calculatedColumnFormula>R2</calculatedColumnFormula>
    </tableColumn>
    <tableColumn id="21" xr3:uid="{1AD0501E-FD37-4C53-90C9-E3C353B8ECC6}" name="Notes"/>
    <tableColumn id="22" xr3:uid="{D392BE95-FD65-446D-95FF-7C4E636B60E5}" name="AssetKey" dataDxfId="0">
      <calculatedColumnFormula>B2&amp;"_"&amp;G2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7B7B7D-C219-4B50-99EE-8AB71A8326FB}" name="Fact_FixedIncome" displayName="Fact_FixedIncome" ref="A1:J4" totalsRowShown="0">
  <autoFilter ref="A1:J4" xr:uid="{00000000-0009-0000-0100-000005000000}"/>
  <tableColumns count="10">
    <tableColumn id="1" xr3:uid="{82421188-3B6C-418E-B633-4FAD48A87692}" name="AssetKey">
      <calculatedColumnFormula>Fact_FixedIncome[[#This Row],[AssetName]]&amp;"_"&amp;Fact_FixedIncome[[#This Row],[Market]]</calculatedColumnFormula>
    </tableColumn>
    <tableColumn id="2" xr3:uid="{FC8EBEF5-ABE9-4CE7-B742-ACBFF8170C24}" name="AssetName"/>
    <tableColumn id="10" xr3:uid="{EB9D05D2-104F-4302-A67F-6F5C64EFEB0D}" name="Market"/>
    <tableColumn id="3" xr3:uid="{FD3DFEB6-E2F8-443D-A66F-B2F4E38E7367}" name="StartDate"/>
    <tableColumn id="4" xr3:uid="{3297349E-0E26-4A44-A842-F76C419BAF14}" name="EndDate"/>
    <tableColumn id="5" xr3:uid="{5ABA3427-8FE8-4140-AAE7-1E9939AB0D22}" name="Principal_MXN"/>
    <tableColumn id="6" xr3:uid="{A1772634-6311-414C-919E-C1273C9B1358}" name="AnnualRate"/>
    <tableColumn id="7" xr3:uid="{69499774-2729-4422-B863-7BC3D34571F0}" name="PaymentFrequency"/>
    <tableColumn id="8" xr3:uid="{E1BBE24A-C150-420A-A3B2-9C86A581E116}" name="Status">
      <calculatedColumnFormula>IF(E2="","Active",IF(E2&lt;TODAY(),"Matured","Active"))</calculatedColumnFormula>
    </tableColumn>
    <tableColumn id="9" xr3:uid="{24340E54-AC04-4ED1-8845-5875FE67A3C4}" name="Not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A1512C-D8B9-4DD0-8714-E0943DE4E341}" name="Fact_PortfolioSnapshot" displayName="Fact_PortfolioSnapshot" ref="A1:J6" totalsRowShown="0">
  <autoFilter ref="A1:J6" xr:uid="{00000000-0009-0000-0100-000007000000}"/>
  <tableColumns count="10">
    <tableColumn id="1" xr3:uid="{B1009FC5-5F9A-4FF6-BFB9-53E070AA1F4B}" name="SnapshotDate"/>
    <tableColumn id="2" xr3:uid="{7546B693-DE45-44DA-88B4-D0A7D3597CC4}" name="AssetGroup"/>
    <tableColumn id="3" xr3:uid="{B7B50F04-0B48-42EE-BBB8-541C00843390}" name="AssetName"/>
    <tableColumn id="4" xr3:uid="{43CB22DC-F91A-4686-AED4-F2684F91BA43}" name="AssetClass"/>
    <tableColumn id="5" xr3:uid="{B5136938-1FD9-47A4-BE7E-E60A82AE420C}" name="Currency"/>
    <tableColumn id="6" xr3:uid="{522D726D-8BC6-478B-A766-9F3F02626790}" name="FXRate_to_MXN"/>
    <tableColumn id="7" xr3:uid="{BD7AD922-4186-4BCD-A621-63A39545C0FF}" name="Value_Local"/>
    <tableColumn id="8" xr3:uid="{065A07CF-612D-472B-8117-F2B00DBDF365}" name="Value_MXN">
      <calculatedColumnFormula>F2*G2</calculatedColumnFormula>
    </tableColumn>
    <tableColumn id="9" xr3:uid="{1932ECE4-1D4C-4A44-94E0-D50F936F8F27}" name="Quantity"/>
    <tableColumn id="10" xr3:uid="{44C5B309-3552-41CF-8317-F7E0C764EF6C}" name="Note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0E2F13-6BC7-42D4-A4C7-F8F602071C4B}" name="Fact_FXTransactions" displayName="Fact_FXTransactions" ref="A1:F4" totalsRowShown="0">
  <autoFilter ref="A1:F4" xr:uid="{00000000-0009-0000-0100-000006000000}"/>
  <tableColumns count="6">
    <tableColumn id="1" xr3:uid="{5861D2CB-C183-436B-AC24-DDB39D1195D1}" name="FXTransactionDate"/>
    <tableColumn id="2" xr3:uid="{14B4CC40-D658-4AED-8C76-9DC45E947EDE}" name="CurrencyBought"/>
    <tableColumn id="3" xr3:uid="{2B6B1EA7-3127-45FB-9A98-ADE5324026E6}" name="AmountCurrency"/>
    <tableColumn id="4" xr3:uid="{61E87E9D-49D1-4E32-93D8-D37804930A0A}" name="MXN_Paid"/>
    <tableColumn id="5" xr3:uid="{22FFCA8C-6F73-49A1-9993-439B28AD52E8}" name="FXRate"/>
    <tableColumn id="6" xr3:uid="{AA3CABDD-D749-4FB7-BF5A-98385663DF34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3540-29FA-4CAD-9029-2E6BCF912B04}">
  <sheetPr>
    <tabColor rgb="FF2563EB"/>
  </sheetPr>
  <dimension ref="A1:A27"/>
  <sheetViews>
    <sheetView zoomScaleNormal="100" workbookViewId="0"/>
  </sheetViews>
  <sheetFormatPr defaultColWidth="8.6328125" defaultRowHeight="14.5" x14ac:dyDescent="0.35"/>
  <cols>
    <col min="1" max="1" width="80" style="2" customWidth="1"/>
    <col min="2" max="16384" width="8.6328125" style="2"/>
  </cols>
  <sheetData>
    <row r="1" spans="1:1" ht="17.25" customHeight="1" x14ac:dyDescent="0.35">
      <c r="A1" s="1" t="s">
        <v>0</v>
      </c>
    </row>
    <row r="3" spans="1:1" ht="15" customHeight="1" x14ac:dyDescent="0.35">
      <c r="A3" s="3" t="s">
        <v>1</v>
      </c>
    </row>
    <row r="4" spans="1:1" ht="15" customHeight="1" x14ac:dyDescent="0.35">
      <c r="A4" s="4" t="s">
        <v>2</v>
      </c>
    </row>
    <row r="5" spans="1:1" ht="15" customHeight="1" x14ac:dyDescent="0.35">
      <c r="A5" s="4" t="s">
        <v>3</v>
      </c>
    </row>
    <row r="6" spans="1:1" ht="15" customHeight="1" x14ac:dyDescent="0.35">
      <c r="A6" s="4" t="s">
        <v>4</v>
      </c>
    </row>
    <row r="7" spans="1:1" ht="15" customHeight="1" x14ac:dyDescent="0.35">
      <c r="A7" s="4" t="s">
        <v>5</v>
      </c>
    </row>
    <row r="8" spans="1:1" ht="15" customHeight="1" x14ac:dyDescent="0.35">
      <c r="A8" s="4" t="s">
        <v>6</v>
      </c>
    </row>
    <row r="9" spans="1:1" ht="15" customHeight="1" x14ac:dyDescent="0.35">
      <c r="A9" s="4" t="s">
        <v>7</v>
      </c>
    </row>
    <row r="10" spans="1:1" ht="15" customHeight="1" x14ac:dyDescent="0.35">
      <c r="A10" s="4" t="s">
        <v>8</v>
      </c>
    </row>
    <row r="11" spans="1:1" ht="15" customHeight="1" x14ac:dyDescent="0.35">
      <c r="A11" s="4" t="s">
        <v>9</v>
      </c>
    </row>
    <row r="13" spans="1:1" ht="15" customHeight="1" x14ac:dyDescent="0.35">
      <c r="A13" s="3" t="s">
        <v>10</v>
      </c>
    </row>
    <row r="14" spans="1:1" ht="15" customHeight="1" x14ac:dyDescent="0.35">
      <c r="A14" s="4" t="s">
        <v>11</v>
      </c>
    </row>
    <row r="15" spans="1:1" ht="15" customHeight="1" x14ac:dyDescent="0.35">
      <c r="A15" s="4" t="s">
        <v>12</v>
      </c>
    </row>
    <row r="16" spans="1:1" ht="15" customHeight="1" x14ac:dyDescent="0.35">
      <c r="A16" s="4" t="s">
        <v>13</v>
      </c>
    </row>
    <row r="17" spans="1:1" ht="15" customHeight="1" x14ac:dyDescent="0.35">
      <c r="A17" s="4" t="s">
        <v>14</v>
      </c>
    </row>
    <row r="18" spans="1:1" ht="15" customHeight="1" x14ac:dyDescent="0.35">
      <c r="A18" s="4" t="s">
        <v>15</v>
      </c>
    </row>
    <row r="19" spans="1:1" ht="15" customHeight="1" x14ac:dyDescent="0.35">
      <c r="A19" s="4" t="s">
        <v>16</v>
      </c>
    </row>
    <row r="20" spans="1:1" ht="15" customHeight="1" x14ac:dyDescent="0.35">
      <c r="A20" s="4" t="s">
        <v>17</v>
      </c>
    </row>
    <row r="21" spans="1:1" ht="15" customHeight="1" x14ac:dyDescent="0.35">
      <c r="A21" s="4" t="s">
        <v>18</v>
      </c>
    </row>
    <row r="22" spans="1:1" ht="15" customHeight="1" x14ac:dyDescent="0.35">
      <c r="A22" s="4" t="s">
        <v>19</v>
      </c>
    </row>
    <row r="24" spans="1:1" ht="15" customHeight="1" x14ac:dyDescent="0.35">
      <c r="A24" s="3" t="s">
        <v>20</v>
      </c>
    </row>
    <row r="25" spans="1:1" ht="15" customHeight="1" x14ac:dyDescent="0.35">
      <c r="A25" s="5" t="s">
        <v>21</v>
      </c>
    </row>
    <row r="26" spans="1:1" ht="15" customHeight="1" x14ac:dyDescent="0.35">
      <c r="A26" s="6" t="s">
        <v>22</v>
      </c>
    </row>
    <row r="27" spans="1:1" ht="15" customHeight="1" x14ac:dyDescent="0.35">
      <c r="A27" s="7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FA0E-8FEF-415C-94A6-F563887EDAD4}">
  <sheetPr>
    <tabColor rgb="FF1F3864"/>
  </sheetPr>
  <dimension ref="A1:X28"/>
  <sheetViews>
    <sheetView tabSelected="1" zoomScaleNormal="100" workbookViewId="0">
      <pane ySplit="2" topLeftCell="A3" activePane="bottomLeft" state="frozen"/>
      <selection pane="bottomLeft" activeCell="A3" sqref="A3"/>
    </sheetView>
  </sheetViews>
  <sheetFormatPr defaultColWidth="8.6328125" defaultRowHeight="14.5" x14ac:dyDescent="0.35"/>
  <cols>
    <col min="1" max="1" width="26" style="2" customWidth="1"/>
    <col min="2" max="2" width="22" style="2" customWidth="1"/>
    <col min="3" max="3" width="14" style="2" customWidth="1"/>
    <col min="4" max="4" width="26" style="2" customWidth="1"/>
    <col min="5" max="6" width="22" style="2" customWidth="1"/>
    <col min="7" max="24" width="14" style="2" customWidth="1"/>
    <col min="25" max="16384" width="8.6328125" style="2"/>
  </cols>
  <sheetData>
    <row r="1" spans="1:24" ht="25.5" customHeight="1" x14ac:dyDescent="0.35">
      <c r="A1" s="34" t="s">
        <v>55</v>
      </c>
      <c r="B1" s="34"/>
      <c r="C1" s="34"/>
      <c r="D1" s="34"/>
      <c r="E1" s="34"/>
      <c r="F1" s="34"/>
    </row>
    <row r="2" spans="1:24" ht="21.75" customHeight="1" x14ac:dyDescent="0.35">
      <c r="A2" s="14" t="s">
        <v>44</v>
      </c>
      <c r="B2" s="18"/>
      <c r="D2" s="14" t="s">
        <v>43</v>
      </c>
      <c r="E2" s="13" t="s">
        <v>42</v>
      </c>
      <c r="F2" s="13" t="str">
        <f>"TXN-"&amp;TEXT(B2,"YYYYMMDD")&amp;"-"&amp;TEXT(COUNTA(Fact_Transactions!A:A),"000")</f>
        <v>TXN-19000100-004</v>
      </c>
    </row>
    <row r="3" spans="1:24" ht="21.75" customHeight="1" x14ac:dyDescent="0.35">
      <c r="A3" s="14" t="s">
        <v>54</v>
      </c>
      <c r="B3" s="15"/>
      <c r="D3" s="14" t="s">
        <v>40</v>
      </c>
      <c r="E3" s="13" t="str">
        <f>IF(B4="MX","MXN","USD")</f>
        <v>USD</v>
      </c>
      <c r="F3" s="13" t="str">
        <f>B3&amp;"_"&amp;B4</f>
        <v>_</v>
      </c>
    </row>
    <row r="4" spans="1:24" ht="21.75" customHeight="1" x14ac:dyDescent="0.35">
      <c r="A4" s="14" t="s">
        <v>39</v>
      </c>
      <c r="B4" s="15"/>
      <c r="D4" s="14" t="s">
        <v>53</v>
      </c>
      <c r="E4" s="13">
        <f>B6*B7</f>
        <v>0</v>
      </c>
      <c r="F4" s="13" t="s">
        <v>52</v>
      </c>
    </row>
    <row r="5" spans="1:24" ht="21.75" customHeight="1" x14ac:dyDescent="0.35">
      <c r="A5" s="14" t="s">
        <v>51</v>
      </c>
      <c r="B5" s="15"/>
      <c r="D5" s="14" t="s">
        <v>50</v>
      </c>
      <c r="E5" s="13">
        <f>B6*B7*0.0025</f>
        <v>0</v>
      </c>
      <c r="F5" s="13" t="s">
        <v>118</v>
      </c>
    </row>
    <row r="6" spans="1:24" ht="21.75" customHeight="1" x14ac:dyDescent="0.35">
      <c r="A6" s="14" t="s">
        <v>49</v>
      </c>
      <c r="B6" s="17"/>
      <c r="D6" s="14" t="s">
        <v>48</v>
      </c>
      <c r="E6" s="13">
        <f>IF(B4="MX",B6*B7*0.0004,0)</f>
        <v>0</v>
      </c>
    </row>
    <row r="7" spans="1:24" ht="21.75" customHeight="1" x14ac:dyDescent="0.35">
      <c r="A7" s="14" t="s">
        <v>47</v>
      </c>
      <c r="B7" s="17"/>
      <c r="D7" s="14" t="s">
        <v>36</v>
      </c>
      <c r="E7" s="13">
        <f>B6*B7*(1+0.0025+IF(B4="MX",0.0004,0))</f>
        <v>0</v>
      </c>
    </row>
    <row r="8" spans="1:24" ht="21.75" customHeight="1" x14ac:dyDescent="0.35">
      <c r="A8" s="14" t="s">
        <v>29</v>
      </c>
      <c r="B8" s="16"/>
      <c r="D8" s="14" t="s">
        <v>34</v>
      </c>
      <c r="E8" s="13">
        <f>B6*B7*B8</f>
        <v>0</v>
      </c>
    </row>
    <row r="9" spans="1:24" ht="21.75" customHeight="1" x14ac:dyDescent="0.35">
      <c r="A9" s="14" t="s">
        <v>27</v>
      </c>
      <c r="B9" s="15"/>
      <c r="D9" s="14" t="s">
        <v>30</v>
      </c>
      <c r="E9" s="13">
        <f>B6*B7*(1+0.0025+IF(B4="MX",0.0004,0))*B8</f>
        <v>0</v>
      </c>
    </row>
    <row r="11" spans="1:24" ht="15" customHeight="1" x14ac:dyDescent="0.35">
      <c r="A11" s="35" t="s">
        <v>46</v>
      </c>
      <c r="B11" s="35"/>
      <c r="C11" s="35"/>
      <c r="D11" s="35"/>
      <c r="E11" s="35"/>
      <c r="F11" s="35"/>
    </row>
    <row r="12" spans="1:24" ht="24" customHeight="1" x14ac:dyDescent="0.35">
      <c r="A12" s="8" t="str">
        <f>F2</f>
        <v>TXN-19000100-004</v>
      </c>
      <c r="B12" s="8" t="str">
        <f ca="1">TEXT(B2,"DD MMM YYYY")&amp;" - "&amp;TEXT(NOW(),"HH:MM")&amp;" h"</f>
        <v>00 1月 1900 - 19:21 h</v>
      </c>
      <c r="C12" s="12">
        <f>B2</f>
        <v>0</v>
      </c>
      <c r="D12" s="8">
        <f>B3</f>
        <v>0</v>
      </c>
      <c r="E12" s="8">
        <f>B3</f>
        <v>0</v>
      </c>
      <c r="F12" s="8" t="str">
        <f>E2</f>
        <v>GBM</v>
      </c>
      <c r="G12" s="8">
        <f>B4</f>
        <v>0</v>
      </c>
      <c r="H12" s="8">
        <f>B5</f>
        <v>0</v>
      </c>
      <c r="I12" s="10">
        <f>B6</f>
        <v>0</v>
      </c>
      <c r="J12" s="10">
        <f>B7</f>
        <v>0</v>
      </c>
      <c r="K12" s="8" t="str">
        <f>E3</f>
        <v>USD</v>
      </c>
      <c r="L12" s="11">
        <f>B8</f>
        <v>0</v>
      </c>
      <c r="M12" s="10">
        <f>E4</f>
        <v>0</v>
      </c>
      <c r="N12" s="10">
        <f>E5</f>
        <v>0</v>
      </c>
      <c r="O12" s="10">
        <f>E6</f>
        <v>0</v>
      </c>
      <c r="P12" s="10">
        <f>E7</f>
        <v>0</v>
      </c>
      <c r="Q12" s="9">
        <f>E8</f>
        <v>0</v>
      </c>
      <c r="R12" s="9">
        <f>E5*B8</f>
        <v>0</v>
      </c>
      <c r="S12" s="9">
        <f>E6*B8</f>
        <v>0</v>
      </c>
      <c r="T12" s="9">
        <f>E9</f>
        <v>0</v>
      </c>
      <c r="U12" s="8" t="str">
        <f>F5</f>
        <v>GBM App</v>
      </c>
      <c r="V12" s="8" t="str">
        <f>F4</f>
        <v>Active</v>
      </c>
      <c r="W12" s="8">
        <f>B9</f>
        <v>0</v>
      </c>
      <c r="X12" s="8" t="str">
        <f>F3</f>
        <v>_</v>
      </c>
    </row>
    <row r="15" spans="1:24" ht="25.5" customHeight="1" x14ac:dyDescent="0.35">
      <c r="A15" s="34" t="s">
        <v>45</v>
      </c>
      <c r="B15" s="34"/>
      <c r="C15" s="34"/>
      <c r="D15" s="34"/>
      <c r="E15" s="34"/>
      <c r="F15" s="34"/>
    </row>
    <row r="17" spans="1:22" ht="21.75" customHeight="1" x14ac:dyDescent="0.35">
      <c r="A17" s="14" t="s">
        <v>44</v>
      </c>
      <c r="B17" s="18"/>
      <c r="D17" s="14" t="s">
        <v>43</v>
      </c>
      <c r="E17" s="13" t="s">
        <v>42</v>
      </c>
    </row>
    <row r="18" spans="1:22" ht="21.75" customHeight="1" x14ac:dyDescent="0.35">
      <c r="A18" s="14" t="s">
        <v>41</v>
      </c>
      <c r="B18" s="15"/>
      <c r="D18" s="14" t="s">
        <v>40</v>
      </c>
      <c r="E18" s="13" t="str">
        <f>IF(B19="MX","MXN","USD")</f>
        <v>USD</v>
      </c>
    </row>
    <row r="19" spans="1:22" ht="21.75" customHeight="1" x14ac:dyDescent="0.35">
      <c r="A19" s="14" t="s">
        <v>39</v>
      </c>
      <c r="B19" s="15"/>
      <c r="D19" s="14" t="s">
        <v>38</v>
      </c>
      <c r="E19" s="13">
        <f>IFERROR(B22/B21,0)</f>
        <v>0</v>
      </c>
    </row>
    <row r="20" spans="1:22" ht="21.75" customHeight="1" x14ac:dyDescent="0.35">
      <c r="A20" s="14" t="s">
        <v>37</v>
      </c>
      <c r="B20" s="15"/>
      <c r="D20" s="14" t="s">
        <v>36</v>
      </c>
      <c r="E20" s="13">
        <f>B22-B23</f>
        <v>0</v>
      </c>
    </row>
    <row r="21" spans="1:22" ht="21.75" customHeight="1" x14ac:dyDescent="0.35">
      <c r="A21" s="14" t="s">
        <v>35</v>
      </c>
      <c r="B21" s="17"/>
      <c r="D21" s="14" t="s">
        <v>34</v>
      </c>
      <c r="E21" s="13">
        <f>B22*B24</f>
        <v>0</v>
      </c>
    </row>
    <row r="22" spans="1:22" ht="21.75" customHeight="1" x14ac:dyDescent="0.35">
      <c r="A22" s="14" t="s">
        <v>33</v>
      </c>
      <c r="B22" s="17"/>
      <c r="D22" s="14" t="s">
        <v>32</v>
      </c>
      <c r="E22" s="13">
        <f>B23*B24</f>
        <v>0</v>
      </c>
    </row>
    <row r="23" spans="1:22" ht="21.75" customHeight="1" x14ac:dyDescent="0.35">
      <c r="A23" s="14" t="s">
        <v>31</v>
      </c>
      <c r="B23" s="17"/>
      <c r="D23" s="14" t="s">
        <v>30</v>
      </c>
      <c r="E23" s="13">
        <f>(B22-B23)*B24</f>
        <v>0</v>
      </c>
    </row>
    <row r="24" spans="1:22" ht="21.75" customHeight="1" x14ac:dyDescent="0.35">
      <c r="A24" s="14" t="s">
        <v>29</v>
      </c>
      <c r="B24" s="16">
        <v>1</v>
      </c>
      <c r="D24" s="14" t="s">
        <v>28</v>
      </c>
      <c r="E24" s="13" t="str">
        <f>"DIV-"&amp;TEXT(B17,"YYYYMMDD")&amp;"-"&amp;TEXT(COUNTA(Fact_Dividends!A:A),"000")</f>
        <v>DIV-19000100-004</v>
      </c>
    </row>
    <row r="25" spans="1:22" ht="21.75" customHeight="1" x14ac:dyDescent="0.35">
      <c r="A25" s="14" t="s">
        <v>27</v>
      </c>
      <c r="B25" s="15"/>
      <c r="D25" s="14" t="s">
        <v>26</v>
      </c>
      <c r="E25" s="13" t="str">
        <f>B18&amp;"_"&amp;B19</f>
        <v>_</v>
      </c>
    </row>
    <row r="27" spans="1:22" ht="15" customHeight="1" x14ac:dyDescent="0.35">
      <c r="A27" s="35" t="s">
        <v>25</v>
      </c>
      <c r="B27" s="35"/>
      <c r="C27" s="35"/>
      <c r="D27" s="35"/>
      <c r="E27" s="35"/>
      <c r="F27" s="35"/>
    </row>
    <row r="28" spans="1:22" ht="24" customHeight="1" x14ac:dyDescent="0.35">
      <c r="A28" s="8" t="str">
        <f>E24</f>
        <v>DIV-19000100-004</v>
      </c>
      <c r="B28" s="8" t="str">
        <f ca="1">TEXT(B17,"DD MMM YYYY")&amp;" - "&amp;TEXT(NOW(),"HH:MM")&amp;" h"</f>
        <v>00 1月 1900 - 19:21 h</v>
      </c>
      <c r="C28" s="12">
        <f>B17</f>
        <v>0</v>
      </c>
      <c r="D28" s="8">
        <f>B18</f>
        <v>0</v>
      </c>
      <c r="E28" s="8">
        <f>B18</f>
        <v>0</v>
      </c>
      <c r="F28" s="8" t="str">
        <f>E17</f>
        <v>GBM</v>
      </c>
      <c r="G28" s="8">
        <f>B19</f>
        <v>0</v>
      </c>
      <c r="H28" s="10">
        <f>B21</f>
        <v>0</v>
      </c>
      <c r="I28" s="8">
        <f>B20</f>
        <v>0</v>
      </c>
      <c r="J28" s="10">
        <f>E19</f>
        <v>0</v>
      </c>
      <c r="K28" s="8" t="str">
        <f>E18</f>
        <v>USD</v>
      </c>
      <c r="L28" s="11">
        <f>B24</f>
        <v>1</v>
      </c>
      <c r="M28" s="10">
        <f>B22</f>
        <v>0</v>
      </c>
      <c r="N28" s="10">
        <f>B23</f>
        <v>0</v>
      </c>
      <c r="O28" s="10">
        <f>E20</f>
        <v>0</v>
      </c>
      <c r="P28" s="9">
        <f>E21</f>
        <v>0</v>
      </c>
      <c r="Q28" s="9">
        <f>E22</f>
        <v>0</v>
      </c>
      <c r="R28" s="9">
        <f>E23</f>
        <v>0</v>
      </c>
      <c r="S28" s="8" t="s">
        <v>24</v>
      </c>
      <c r="T28" s="9">
        <f>E23</f>
        <v>0</v>
      </c>
      <c r="U28" s="8">
        <f>B25</f>
        <v>0</v>
      </c>
      <c r="V28" s="8" t="str">
        <f>E25</f>
        <v>_</v>
      </c>
    </row>
  </sheetData>
  <mergeCells count="4">
    <mergeCell ref="A1:F1"/>
    <mergeCell ref="A11:F11"/>
    <mergeCell ref="A15:F15"/>
    <mergeCell ref="A27:F27"/>
  </mergeCells>
  <dataValidations count="3">
    <dataValidation type="list" allowBlank="1" sqref="B20" xr:uid="{00000000-0002-0000-0100-000003000000}">
      <formula1>"Cash Dividend,Fiscal Distribution,Capital Reimbursment"</formula1>
      <formula2>0</formula2>
    </dataValidation>
    <dataValidation type="list" allowBlank="1" sqref="B5" xr:uid="{00000000-0002-0000-0100-000001000000}">
      <formula1>"Buy,Sell"</formula1>
      <formula2>0</formula2>
    </dataValidation>
    <dataValidation type="list" allowBlank="1" sqref="B4 B19" xr:uid="{00000000-0002-0000-0100-000000000000}">
      <formula1>"MX,US"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4A68-4412-42D9-A7DA-8721CD94EC07}">
  <sheetPr>
    <tabColor rgb="FF1F3864"/>
  </sheetPr>
  <dimension ref="A1:Q3"/>
  <sheetViews>
    <sheetView zoomScaleNormal="100" workbookViewId="0"/>
  </sheetViews>
  <sheetFormatPr defaultColWidth="8.6328125" defaultRowHeight="14.5" x14ac:dyDescent="0.35"/>
  <cols>
    <col min="1" max="1" width="12" style="2" customWidth="1"/>
    <col min="2" max="2" width="28" style="2" customWidth="1"/>
    <col min="3" max="3" width="14" style="2" customWidth="1"/>
    <col min="4" max="4" width="18" style="2" customWidth="1"/>
    <col min="5" max="5" width="20" style="2" customWidth="1"/>
    <col min="6" max="6" width="24" style="2" customWidth="1"/>
    <col min="7" max="8" width="16" style="2" customWidth="1"/>
    <col min="9" max="9" width="14" style="2" customWidth="1"/>
    <col min="10" max="10" width="16" style="2" customWidth="1"/>
    <col min="11" max="11" width="10" style="2" customWidth="1"/>
    <col min="12" max="12" width="16" style="2" customWidth="1"/>
    <col min="13" max="13" width="12" style="2" customWidth="1"/>
    <col min="14" max="14" width="10" style="2" customWidth="1"/>
    <col min="15" max="15" width="12" style="2" customWidth="1"/>
    <col min="16" max="16" width="10" style="2" customWidth="1"/>
    <col min="17" max="17" width="14" style="2" customWidth="1"/>
    <col min="18" max="16384" width="8.6328125" style="2"/>
  </cols>
  <sheetData>
    <row r="1" spans="1:17" ht="15" customHeight="1" x14ac:dyDescent="0.35">
      <c r="A1" s="19" t="s">
        <v>56</v>
      </c>
      <c r="B1" s="19" t="s">
        <v>57</v>
      </c>
      <c r="C1" s="19" t="s">
        <v>58</v>
      </c>
      <c r="D1" s="19" t="s">
        <v>59</v>
      </c>
      <c r="E1" s="19" t="s">
        <v>60</v>
      </c>
      <c r="F1" s="19" t="s">
        <v>61</v>
      </c>
      <c r="G1" s="19" t="s">
        <v>62</v>
      </c>
      <c r="H1" s="19" t="s">
        <v>63</v>
      </c>
      <c r="I1" s="19" t="s">
        <v>64</v>
      </c>
      <c r="J1" s="19" t="s">
        <v>65</v>
      </c>
      <c r="K1" s="19" t="s">
        <v>66</v>
      </c>
      <c r="L1" s="19" t="s">
        <v>67</v>
      </c>
      <c r="M1" s="19" t="s">
        <v>68</v>
      </c>
      <c r="N1" s="19" t="s">
        <v>69</v>
      </c>
      <c r="O1" s="19" t="s">
        <v>70</v>
      </c>
      <c r="P1" s="19" t="s">
        <v>71</v>
      </c>
      <c r="Q1" s="19" t="s">
        <v>72</v>
      </c>
    </row>
    <row r="2" spans="1:17" ht="15" customHeight="1" x14ac:dyDescent="0.35">
      <c r="A2" s="20" t="s">
        <v>73</v>
      </c>
      <c r="B2" s="20" t="s">
        <v>74</v>
      </c>
      <c r="C2" s="20" t="s">
        <v>75</v>
      </c>
      <c r="D2" s="20" t="s">
        <v>76</v>
      </c>
      <c r="E2" s="20" t="s">
        <v>77</v>
      </c>
      <c r="F2" s="20" t="s">
        <v>76</v>
      </c>
      <c r="G2" s="20" t="s">
        <v>78</v>
      </c>
      <c r="H2" s="20" t="s">
        <v>79</v>
      </c>
      <c r="I2" s="20" t="s">
        <v>80</v>
      </c>
      <c r="J2" s="20" t="s">
        <v>80</v>
      </c>
      <c r="K2" s="20" t="s">
        <v>81</v>
      </c>
      <c r="L2" s="20" t="s">
        <v>24</v>
      </c>
      <c r="M2" s="20" t="s">
        <v>82</v>
      </c>
      <c r="N2" s="20" t="s">
        <v>83</v>
      </c>
      <c r="O2" s="20" t="s">
        <v>84</v>
      </c>
      <c r="P2" s="20" t="s">
        <v>52</v>
      </c>
      <c r="Q2" s="20" t="s">
        <v>85</v>
      </c>
    </row>
    <row r="3" spans="1:17" x14ac:dyDescent="0.35">
      <c r="A3" s="21" t="s">
        <v>86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69E3-E8A7-4AA3-A3F5-B35595228007}">
  <sheetPr>
    <tabColor rgb="FF1F3864"/>
  </sheetPr>
  <dimension ref="A1:C7"/>
  <sheetViews>
    <sheetView zoomScaleNormal="100" workbookViewId="0"/>
  </sheetViews>
  <sheetFormatPr defaultColWidth="8.6328125" defaultRowHeight="14.5" x14ac:dyDescent="0.35"/>
  <cols>
    <col min="1" max="3" width="14" style="2" customWidth="1"/>
    <col min="4" max="16384" width="8.6328125" style="2"/>
  </cols>
  <sheetData>
    <row r="1" spans="1:3" ht="15" customHeight="1" x14ac:dyDescent="0.35">
      <c r="A1" s="19" t="s">
        <v>87</v>
      </c>
      <c r="B1" s="19" t="s">
        <v>88</v>
      </c>
      <c r="C1" s="19" t="s">
        <v>89</v>
      </c>
    </row>
    <row r="2" spans="1:3" ht="15" customHeight="1" x14ac:dyDescent="0.35">
      <c r="A2" s="15" t="s">
        <v>90</v>
      </c>
      <c r="B2" s="15" t="s">
        <v>80</v>
      </c>
      <c r="C2" s="15">
        <v>17.48</v>
      </c>
    </row>
    <row r="3" spans="1:3" x14ac:dyDescent="0.35">
      <c r="A3" s="22" t="s">
        <v>90</v>
      </c>
      <c r="B3" s="22" t="s">
        <v>91</v>
      </c>
      <c r="C3" s="22">
        <v>19.850000000000001</v>
      </c>
    </row>
    <row r="4" spans="1:3" x14ac:dyDescent="0.35">
      <c r="A4" s="22" t="s">
        <v>90</v>
      </c>
      <c r="B4" s="22" t="s">
        <v>92</v>
      </c>
      <c r="C4" s="22">
        <v>22.1</v>
      </c>
    </row>
    <row r="5" spans="1:3" x14ac:dyDescent="0.35">
      <c r="A5" s="22" t="s">
        <v>93</v>
      </c>
      <c r="B5" s="22" t="s">
        <v>80</v>
      </c>
      <c r="C5" s="22">
        <v>17.350000000000001</v>
      </c>
    </row>
    <row r="6" spans="1:3" x14ac:dyDescent="0.35">
      <c r="A6" s="22" t="s">
        <v>93</v>
      </c>
      <c r="B6" s="22" t="s">
        <v>91</v>
      </c>
      <c r="C6" s="22">
        <v>19.600000000000001</v>
      </c>
    </row>
    <row r="7" spans="1:3" x14ac:dyDescent="0.35">
      <c r="A7" s="21" t="s">
        <v>94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C8B5-A685-427B-A248-D79FA052D656}">
  <sheetPr>
    <tabColor rgb="FF2563EB"/>
  </sheetPr>
  <dimension ref="A1:X4"/>
  <sheetViews>
    <sheetView zoomScaleNormal="100" workbookViewId="0"/>
  </sheetViews>
  <sheetFormatPr defaultColWidth="8.6328125" defaultRowHeight="14.5" x14ac:dyDescent="0.35"/>
  <cols>
    <col min="1" max="1" width="20" style="2" customWidth="1"/>
    <col min="2" max="2" width="22" style="2" customWidth="1"/>
    <col min="3" max="3" width="14" style="2" customWidth="1"/>
    <col min="4" max="4" width="10" style="2" customWidth="1"/>
    <col min="5" max="5" width="24" style="2" customWidth="1"/>
    <col min="6" max="6" width="10" style="2" customWidth="1"/>
    <col min="7" max="7" width="8" style="2" customWidth="1"/>
    <col min="8" max="9" width="10" style="2" customWidth="1"/>
    <col min="10" max="10" width="16" style="2" customWidth="1"/>
    <col min="11" max="11" width="14" style="2" customWidth="1"/>
    <col min="12" max="12" width="12" style="2" customWidth="1"/>
    <col min="13" max="13" width="16" style="2" customWidth="1"/>
    <col min="14" max="14" width="14" style="2" customWidth="1"/>
    <col min="15" max="15" width="12" style="2" customWidth="1"/>
    <col min="16" max="16" width="16" style="2" customWidth="1"/>
    <col min="17" max="18" width="14" style="2" customWidth="1"/>
    <col min="19" max="19" width="12" style="2" customWidth="1"/>
    <col min="20" max="20" width="14" style="2" customWidth="1"/>
    <col min="21" max="21" width="12" style="2" customWidth="1"/>
    <col min="22" max="22" width="10" style="2" customWidth="1"/>
    <col min="23" max="23" width="20" style="2" customWidth="1"/>
    <col min="24" max="24" width="16" style="2" customWidth="1"/>
    <col min="25" max="16384" width="8.6328125" style="2"/>
  </cols>
  <sheetData>
    <row r="1" spans="1:24" ht="15" customHeight="1" x14ac:dyDescent="0.35">
      <c r="A1" s="19" t="s">
        <v>95</v>
      </c>
      <c r="B1" s="19" t="s">
        <v>96</v>
      </c>
      <c r="C1" s="19" t="s">
        <v>97</v>
      </c>
      <c r="D1" s="19" t="s">
        <v>56</v>
      </c>
      <c r="E1" s="19" t="s">
        <v>57</v>
      </c>
      <c r="F1" s="19" t="s">
        <v>98</v>
      </c>
      <c r="G1" s="19" t="s">
        <v>99</v>
      </c>
      <c r="H1" s="19" t="s">
        <v>100</v>
      </c>
      <c r="I1" s="19" t="s">
        <v>101</v>
      </c>
      <c r="J1" s="19" t="s">
        <v>102</v>
      </c>
      <c r="K1" s="19" t="s">
        <v>103</v>
      </c>
      <c r="L1" s="19" t="s">
        <v>104</v>
      </c>
      <c r="M1" s="19" t="s">
        <v>105</v>
      </c>
      <c r="N1" s="19" t="s">
        <v>106</v>
      </c>
      <c r="O1" s="19" t="s">
        <v>107</v>
      </c>
      <c r="P1" s="19" t="s">
        <v>108</v>
      </c>
      <c r="Q1" s="19" t="s">
        <v>109</v>
      </c>
      <c r="R1" s="19" t="s">
        <v>110</v>
      </c>
      <c r="S1" s="19" t="s">
        <v>111</v>
      </c>
      <c r="T1" s="19" t="s">
        <v>112</v>
      </c>
      <c r="U1" s="19" t="s">
        <v>113</v>
      </c>
      <c r="V1" s="19" t="s">
        <v>71</v>
      </c>
      <c r="W1" s="19" t="s">
        <v>114</v>
      </c>
      <c r="X1" s="19" t="s">
        <v>72</v>
      </c>
    </row>
    <row r="2" spans="1:24" ht="15" customHeight="1" x14ac:dyDescent="0.35">
      <c r="A2" s="13" t="str">
        <f>"TXN-"&amp;TEXT(C2,"yyyymmdd")&amp;"-"&amp;TEXT(ROW()-1,"000")</f>
        <v>TXN-19000100-001</v>
      </c>
      <c r="B2" s="15"/>
      <c r="C2" s="23"/>
      <c r="D2" s="15"/>
      <c r="E2" s="15"/>
      <c r="F2" s="15"/>
      <c r="G2" s="15"/>
      <c r="H2" s="15"/>
      <c r="I2" s="15"/>
      <c r="J2" s="15"/>
      <c r="K2" s="15"/>
      <c r="L2" s="15"/>
      <c r="M2" s="13">
        <f>I2*J2</f>
        <v>0</v>
      </c>
      <c r="N2" s="13">
        <f>M2*0.0025</f>
        <v>0</v>
      </c>
      <c r="O2" s="13">
        <f>IF(G2="MX",M2*0.0004,0)</f>
        <v>0</v>
      </c>
      <c r="P2" s="13">
        <f>M2+N2+O2</f>
        <v>0</v>
      </c>
      <c r="Q2" s="13">
        <f>M2*L2</f>
        <v>0</v>
      </c>
      <c r="R2" s="13">
        <f>N2*L2</f>
        <v>0</v>
      </c>
      <c r="S2" s="13">
        <f>O2*L2</f>
        <v>0</v>
      </c>
      <c r="T2" s="13">
        <f>P2*L2</f>
        <v>0</v>
      </c>
      <c r="U2" s="15"/>
      <c r="V2" s="15"/>
      <c r="W2" s="15"/>
      <c r="X2" s="13" t="str">
        <f t="shared" ref="X2:X3" si="0">D2&amp;"_"&amp;G2</f>
        <v>_</v>
      </c>
    </row>
    <row r="3" spans="1:24" ht="15" customHeight="1" x14ac:dyDescent="0.35">
      <c r="A3" s="24" t="str">
        <f>"TXN-"&amp;TEXT(C3,"yyyymmdd")&amp;"-"&amp;TEXT(ROW()-1,"000")</f>
        <v>TXN-20260601-002</v>
      </c>
      <c r="B3" s="22" t="s">
        <v>115</v>
      </c>
      <c r="C3" s="25">
        <v>46174</v>
      </c>
      <c r="D3" s="22" t="s">
        <v>73</v>
      </c>
      <c r="E3" s="22" t="s">
        <v>74</v>
      </c>
      <c r="F3" s="22" t="s">
        <v>42</v>
      </c>
      <c r="G3" s="22" t="s">
        <v>116</v>
      </c>
      <c r="H3" s="22" t="s">
        <v>117</v>
      </c>
      <c r="I3" s="26">
        <v>3</v>
      </c>
      <c r="J3" s="26">
        <v>530.5</v>
      </c>
      <c r="K3" s="22" t="s">
        <v>80</v>
      </c>
      <c r="L3" s="22">
        <v>17.48</v>
      </c>
      <c r="M3" s="27">
        <f>I3*J3</f>
        <v>1591.5</v>
      </c>
      <c r="N3" s="27">
        <f>M3*0.0025</f>
        <v>3.9787500000000002</v>
      </c>
      <c r="O3" s="27">
        <f>IF(G3="MX",M3*0.0004,0)</f>
        <v>0</v>
      </c>
      <c r="P3" s="27">
        <f>M3+N3+O3</f>
        <v>1595.47875</v>
      </c>
      <c r="Q3" s="28">
        <f>M3*L3</f>
        <v>27819.420000000002</v>
      </c>
      <c r="R3" s="28">
        <f>N3*L3</f>
        <v>69.548550000000006</v>
      </c>
      <c r="S3" s="28">
        <f>O3*L3</f>
        <v>0</v>
      </c>
      <c r="T3" s="28">
        <f>P3*L3</f>
        <v>27888.968550000001</v>
      </c>
      <c r="U3" s="22" t="s">
        <v>118</v>
      </c>
      <c r="V3" s="22" t="s">
        <v>52</v>
      </c>
      <c r="W3" s="22" t="s">
        <v>119</v>
      </c>
      <c r="X3" s="13" t="str">
        <f t="shared" si="0"/>
        <v>VOO_US</v>
      </c>
    </row>
    <row r="4" spans="1:24" x14ac:dyDescent="0.35">
      <c r="A4" s="21" t="s">
        <v>120</v>
      </c>
    </row>
  </sheetData>
  <dataValidations count="3">
    <dataValidation type="list" allowBlank="1" sqref="V2" xr:uid="{451FF66B-73E0-4C70-BB2D-A40610940729}">
      <formula1>"Active,Closed"</formula1>
      <formula2>0</formula2>
    </dataValidation>
    <dataValidation type="list" allowBlank="1" sqref="G2" xr:uid="{790037D7-BFE6-4985-8CB9-0A3835569EFC}">
      <formula1>"MX,US"</formula1>
      <formula2>0</formula2>
    </dataValidation>
    <dataValidation type="list" allowBlank="1" sqref="H2" xr:uid="{15E30A77-1D30-4B17-AB8C-81CFA9CE130B}">
      <formula1>"Buy,Sell"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1B4F-8457-4DB5-8C7A-82BEA1480AAB}">
  <sheetPr>
    <tabColor rgb="FF2563EB"/>
  </sheetPr>
  <dimension ref="A1:J4"/>
  <sheetViews>
    <sheetView zoomScaleNormal="100" workbookViewId="0"/>
  </sheetViews>
  <sheetFormatPr defaultColWidth="8.6328125" defaultRowHeight="14.5" x14ac:dyDescent="0.35"/>
  <cols>
    <col min="1" max="1" width="14" style="2" customWidth="1"/>
    <col min="2" max="2" width="10" style="2" customWidth="1"/>
    <col min="3" max="3" width="24" style="2" customWidth="1"/>
    <col min="4" max="4" width="8" style="2" customWidth="1"/>
    <col min="5" max="6" width="12" style="2" customWidth="1"/>
    <col min="7" max="7" width="14" style="2" customWidth="1"/>
    <col min="8" max="8" width="18" style="2" customWidth="1"/>
    <col min="9" max="9" width="16" style="2" customWidth="1"/>
    <col min="10" max="10" width="10" style="2" customWidth="1"/>
    <col min="11" max="16384" width="8.6328125" style="2"/>
  </cols>
  <sheetData>
    <row r="1" spans="1:10" ht="15" customHeight="1" x14ac:dyDescent="0.35">
      <c r="A1" s="19" t="s">
        <v>72</v>
      </c>
      <c r="B1" s="19" t="s">
        <v>56</v>
      </c>
      <c r="C1" s="19" t="s">
        <v>57</v>
      </c>
      <c r="D1" s="19" t="s">
        <v>99</v>
      </c>
      <c r="E1" s="19" t="s">
        <v>121</v>
      </c>
      <c r="F1" s="19" t="s">
        <v>104</v>
      </c>
      <c r="G1" s="19" t="s">
        <v>122</v>
      </c>
      <c r="H1" s="19" t="s">
        <v>123</v>
      </c>
      <c r="I1" s="19" t="s">
        <v>124</v>
      </c>
      <c r="J1" s="19" t="s">
        <v>71</v>
      </c>
    </row>
    <row r="2" spans="1:10" ht="15" customHeight="1" x14ac:dyDescent="0.35">
      <c r="A2" s="13" t="str">
        <f>B2&amp;"_"&amp;D2</f>
        <v>_</v>
      </c>
      <c r="B2" s="15"/>
      <c r="C2" s="15"/>
      <c r="D2" s="15"/>
      <c r="E2" s="15"/>
      <c r="F2" s="15"/>
      <c r="G2" s="29">
        <f ca="1">TODAY()</f>
        <v>46225</v>
      </c>
      <c r="H2" s="15"/>
      <c r="I2" s="13">
        <f>F2*H2</f>
        <v>0</v>
      </c>
      <c r="J2" s="15"/>
    </row>
    <row r="3" spans="1:10" ht="15" customHeight="1" x14ac:dyDescent="0.35">
      <c r="A3" s="13" t="str">
        <f>B3&amp;"_"&amp;D3</f>
        <v>VOO_US</v>
      </c>
      <c r="B3" s="22" t="s">
        <v>73</v>
      </c>
      <c r="C3" s="22" t="s">
        <v>74</v>
      </c>
      <c r="D3" s="22" t="s">
        <v>116</v>
      </c>
      <c r="E3" s="22" t="s">
        <v>80</v>
      </c>
      <c r="F3" s="30">
        <v>17.48</v>
      </c>
      <c r="G3" s="31">
        <f ca="1">TODAY()</f>
        <v>46225</v>
      </c>
      <c r="H3" s="32">
        <v>558.20000000000005</v>
      </c>
      <c r="I3" s="28">
        <f>F3*H3</f>
        <v>9757.3360000000011</v>
      </c>
      <c r="J3" s="22" t="s">
        <v>52</v>
      </c>
    </row>
    <row r="4" spans="1:10" x14ac:dyDescent="0.35">
      <c r="A4" s="21" t="s">
        <v>125</v>
      </c>
    </row>
  </sheetData>
  <dataValidations count="2">
    <dataValidation type="list" allowBlank="1" sqref="D2" xr:uid="{56741CC6-945C-407E-8525-A4C447F3BFFE}">
      <formula1>"MX,US"</formula1>
      <formula2>0</formula2>
    </dataValidation>
    <dataValidation type="list" allowBlank="1" sqref="J2" xr:uid="{3FA508C2-3CD3-4975-ACD0-44C490704829}">
      <formula1>"Active,Closed"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40B7-D667-4D01-9207-BAD9172AE5BE}">
  <sheetPr>
    <tabColor rgb="FF2563EB"/>
  </sheetPr>
  <dimension ref="A1:V4"/>
  <sheetViews>
    <sheetView topLeftCell="J1" zoomScaleNormal="100" workbookViewId="0"/>
  </sheetViews>
  <sheetFormatPr defaultColWidth="8.6328125" defaultRowHeight="14.5" x14ac:dyDescent="0.35"/>
  <cols>
    <col min="1" max="1" width="20" style="2" customWidth="1"/>
    <col min="2" max="2" width="18" style="2" customWidth="1"/>
    <col min="3" max="3" width="14" style="2" customWidth="1"/>
    <col min="4" max="4" width="10" style="2" customWidth="1"/>
    <col min="5" max="5" width="24" style="2" customWidth="1"/>
    <col min="6" max="6" width="10" style="2" customWidth="1"/>
    <col min="7" max="7" width="8" style="2" customWidth="1"/>
    <col min="8" max="8" width="10" style="2" customWidth="1"/>
    <col min="9" max="9" width="18" style="2" customWidth="1"/>
    <col min="10" max="10" width="14" style="2" customWidth="1"/>
    <col min="11" max="12" width="12" style="2" customWidth="1"/>
    <col min="13" max="14" width="16" style="2" customWidth="1"/>
    <col min="15" max="18" width="14" style="2" customWidth="1"/>
    <col min="19" max="19" width="10" style="2" customWidth="1"/>
    <col min="20" max="20" width="14" style="2" customWidth="1"/>
    <col min="21" max="21" width="20" style="2" customWidth="1"/>
    <col min="22" max="22" width="16" style="2" customWidth="1"/>
    <col min="23" max="16384" width="8.6328125" style="2"/>
  </cols>
  <sheetData>
    <row r="1" spans="1:22" ht="15" customHeight="1" x14ac:dyDescent="0.35">
      <c r="A1" s="19" t="s">
        <v>126</v>
      </c>
      <c r="B1" s="19" t="s">
        <v>127</v>
      </c>
      <c r="C1" s="19" t="s">
        <v>128</v>
      </c>
      <c r="D1" s="19" t="s">
        <v>56</v>
      </c>
      <c r="E1" s="19" t="s">
        <v>57</v>
      </c>
      <c r="F1" s="19" t="s">
        <v>98</v>
      </c>
      <c r="G1" s="19" t="s">
        <v>99</v>
      </c>
      <c r="H1" s="19" t="s">
        <v>129</v>
      </c>
      <c r="I1" s="19" t="s">
        <v>130</v>
      </c>
      <c r="J1" s="19" t="s">
        <v>131</v>
      </c>
      <c r="K1" s="19" t="s">
        <v>132</v>
      </c>
      <c r="L1" s="19" t="s">
        <v>104</v>
      </c>
      <c r="M1" s="19" t="s">
        <v>133</v>
      </c>
      <c r="N1" s="19" t="s">
        <v>134</v>
      </c>
      <c r="O1" s="19" t="s">
        <v>135</v>
      </c>
      <c r="P1" s="19" t="s">
        <v>136</v>
      </c>
      <c r="Q1" s="19" t="s">
        <v>137</v>
      </c>
      <c r="R1" s="19" t="s">
        <v>138</v>
      </c>
      <c r="S1" s="19" t="s">
        <v>139</v>
      </c>
      <c r="T1" s="19" t="s">
        <v>140</v>
      </c>
      <c r="U1" s="19" t="s">
        <v>114</v>
      </c>
      <c r="V1" s="19" t="s">
        <v>72</v>
      </c>
    </row>
    <row r="2" spans="1:22" ht="15" customHeight="1" x14ac:dyDescent="0.35">
      <c r="A2" s="13" t="str">
        <f>"DIV-"&amp;TEXT(C2,"yyyymmdd")&amp;"-"&amp;TEXT(ROW()-1,"000")</f>
        <v>DIV-19000100-001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3">
        <f>H2*J2</f>
        <v>0</v>
      </c>
      <c r="N2" s="15"/>
      <c r="O2" s="13">
        <f>M2-N2</f>
        <v>0</v>
      </c>
      <c r="P2" s="13">
        <f>M2*L2</f>
        <v>0</v>
      </c>
      <c r="Q2" s="13">
        <f>N2*L2</f>
        <v>0</v>
      </c>
      <c r="R2" s="13">
        <f>P2-Q2</f>
        <v>0</v>
      </c>
      <c r="S2" s="15"/>
      <c r="T2" s="13">
        <f>R2</f>
        <v>0</v>
      </c>
      <c r="U2" s="15"/>
      <c r="V2" s="13" t="str">
        <f>B2&amp;"_"&amp;G2</f>
        <v>_</v>
      </c>
    </row>
    <row r="3" spans="1:22" ht="15" customHeight="1" x14ac:dyDescent="0.35">
      <c r="A3" s="24" t="str">
        <f>"DIV-"&amp;TEXT(C3,"yyyymmdd")&amp;"-"&amp;TEXT(ROW()-1,"000")</f>
        <v>DIV-20260630-002</v>
      </c>
      <c r="B3" s="22" t="s">
        <v>141</v>
      </c>
      <c r="C3" s="25">
        <v>46203</v>
      </c>
      <c r="D3" s="22" t="s">
        <v>73</v>
      </c>
      <c r="E3" s="22" t="s">
        <v>74</v>
      </c>
      <c r="F3" s="22" t="s">
        <v>42</v>
      </c>
      <c r="G3" s="22" t="s">
        <v>116</v>
      </c>
      <c r="H3" s="26">
        <v>3</v>
      </c>
      <c r="I3" s="22" t="s">
        <v>142</v>
      </c>
      <c r="J3" s="26">
        <v>1.85</v>
      </c>
      <c r="K3" s="22" t="s">
        <v>80</v>
      </c>
      <c r="L3" s="22">
        <v>17.48</v>
      </c>
      <c r="M3" s="27">
        <f>H3*J3</f>
        <v>5.5500000000000007</v>
      </c>
      <c r="N3" s="26">
        <v>0.56000000000000005</v>
      </c>
      <c r="O3" s="27">
        <f>M3-N3</f>
        <v>4.99</v>
      </c>
      <c r="P3" s="28">
        <f>M3*L3</f>
        <v>97.01400000000001</v>
      </c>
      <c r="Q3" s="28">
        <f>N3*L3</f>
        <v>9.7888000000000019</v>
      </c>
      <c r="R3" s="28">
        <f>P3-Q3</f>
        <v>87.225200000000001</v>
      </c>
      <c r="S3" s="22" t="s">
        <v>24</v>
      </c>
      <c r="T3" s="28">
        <f>R3</f>
        <v>87.225200000000001</v>
      </c>
      <c r="U3" s="22" t="s">
        <v>143</v>
      </c>
      <c r="V3" s="13" t="str">
        <f t="shared" ref="V3" si="0">B3&amp;"_"&amp;G3</f>
        <v>30 Jun 2026 - 14:00 h_US</v>
      </c>
    </row>
    <row r="4" spans="1:22" x14ac:dyDescent="0.35">
      <c r="A4" s="21" t="s">
        <v>144</v>
      </c>
    </row>
  </sheetData>
  <dataValidations count="3">
    <dataValidation type="list" allowBlank="1" sqref="G2" xr:uid="{2A177DD2-BAEB-490C-81EF-5DA3296AE547}">
      <formula1>"MX,US"</formula1>
      <formula2>0</formula2>
    </dataValidation>
    <dataValidation type="list" allowBlank="1" sqref="S2" xr:uid="{1172ABDE-E714-4813-AB8B-2AC1BBE9F5C7}">
      <formula1>"Yes,No"</formula1>
      <formula2>0</formula2>
    </dataValidation>
    <dataValidation type="list" allowBlank="1" sqref="I2" xr:uid="{F4B96C55-1072-4BEE-87BB-61D15DED45A4}">
      <formula1>"Cash Dividend,Fiscal Distribution,Capital Reimbursment"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34BA-3D55-4001-9C7F-E9692E4C6FEA}">
  <sheetPr>
    <tabColor rgb="FF2563EB"/>
  </sheetPr>
  <dimension ref="A1:J5"/>
  <sheetViews>
    <sheetView zoomScaleNormal="100" workbookViewId="0"/>
  </sheetViews>
  <sheetFormatPr defaultColWidth="8.6328125" defaultRowHeight="14.5" x14ac:dyDescent="0.35"/>
  <cols>
    <col min="1" max="1" width="14" style="2" customWidth="1"/>
    <col min="2" max="3" width="18" style="2" customWidth="1"/>
    <col min="4" max="6" width="14" style="2" customWidth="1"/>
    <col min="7" max="7" width="12" style="2" customWidth="1"/>
    <col min="8" max="8" width="16" style="2" customWidth="1"/>
    <col min="9" max="9" width="14" style="2" customWidth="1"/>
    <col min="10" max="10" width="40" style="2" customWidth="1"/>
    <col min="11" max="16384" width="8.6328125" style="2"/>
  </cols>
  <sheetData>
    <row r="1" spans="1:10" ht="15" customHeight="1" x14ac:dyDescent="0.35">
      <c r="A1" s="19" t="s">
        <v>72</v>
      </c>
      <c r="B1" s="19" t="s">
        <v>57</v>
      </c>
      <c r="C1" s="19" t="s">
        <v>99</v>
      </c>
      <c r="D1" s="19" t="s">
        <v>145</v>
      </c>
      <c r="E1" s="19" t="s">
        <v>146</v>
      </c>
      <c r="F1" s="19" t="s">
        <v>147</v>
      </c>
      <c r="G1" s="19" t="s">
        <v>148</v>
      </c>
      <c r="H1" s="19" t="s">
        <v>149</v>
      </c>
      <c r="I1" s="19" t="s">
        <v>71</v>
      </c>
      <c r="J1" s="19" t="s">
        <v>114</v>
      </c>
    </row>
    <row r="2" spans="1:10" ht="15" customHeight="1" x14ac:dyDescent="0.35">
      <c r="A2" s="13" t="str">
        <f>Fact_FixedIncome[[#This Row],[AssetName]]&amp;"_"&amp;Fact_FixedIncome[[#This Row],[Market]]</f>
        <v>_</v>
      </c>
      <c r="B2" s="15"/>
      <c r="C2" s="15"/>
      <c r="D2" s="15"/>
      <c r="E2" s="15"/>
      <c r="F2" s="15"/>
      <c r="G2" s="15"/>
      <c r="H2" s="15"/>
      <c r="I2" s="13" t="str">
        <f ca="1">IF(E2="","Active",IF(E2&lt;TODAY(),"Matured","Active"))</f>
        <v>Active</v>
      </c>
      <c r="J2" s="15"/>
    </row>
    <row r="3" spans="1:10" ht="15" customHeight="1" x14ac:dyDescent="0.35">
      <c r="A3" s="22" t="str">
        <f>Fact_FixedIncome[[#This Row],[AssetName]]&amp;"_"&amp;Fact_FixedIncome[[#This Row],[Market]]</f>
        <v>InverFin_MX</v>
      </c>
      <c r="B3" s="22" t="s">
        <v>150</v>
      </c>
      <c r="C3" s="22" t="s">
        <v>151</v>
      </c>
      <c r="D3" s="25">
        <v>45931</v>
      </c>
      <c r="E3" s="25">
        <v>47027</v>
      </c>
      <c r="F3" s="32">
        <v>25000</v>
      </c>
      <c r="G3" s="33">
        <v>0.12</v>
      </c>
      <c r="H3" s="22" t="s">
        <v>152</v>
      </c>
      <c r="I3" s="24" t="str">
        <f ca="1">IF(E3="","Active",IF(E3&lt;TODAY(),"Matured","Active"))</f>
        <v>Active</v>
      </c>
      <c r="J3" s="22"/>
    </row>
    <row r="4" spans="1:10" ht="15" customHeight="1" x14ac:dyDescent="0.35">
      <c r="A4" s="22" t="str">
        <f>Fact_FixedIncome[[#This Row],[AssetName]]&amp;"_"&amp;Fact_FixedIncome[[#This Row],[Market]]</f>
        <v>AhorroFlex_MX</v>
      </c>
      <c r="B4" s="22" t="s">
        <v>153</v>
      </c>
      <c r="C4" s="22" t="s">
        <v>151</v>
      </c>
      <c r="D4" s="25">
        <v>46174</v>
      </c>
      <c r="E4" s="25">
        <v>46203</v>
      </c>
      <c r="F4" s="32">
        <v>94580.4</v>
      </c>
      <c r="G4" s="33">
        <v>6.7500000000000004E-2</v>
      </c>
      <c r="H4" s="22" t="s">
        <v>154</v>
      </c>
      <c r="I4" s="24" t="str">
        <f ca="1">IF(E4="","Active",IF(E4&lt;TODAY(),"Matured","Active"))</f>
        <v>Matured</v>
      </c>
      <c r="J4" s="22" t="s">
        <v>155</v>
      </c>
    </row>
    <row r="5" spans="1:10" x14ac:dyDescent="0.35">
      <c r="A5" s="21" t="s">
        <v>156</v>
      </c>
    </row>
  </sheetData>
  <dataValidations count="1">
    <dataValidation type="list" allowBlank="1" sqref="H2" xr:uid="{88BF094C-F561-44DC-AAAF-9B4A5F1CB38B}">
      <formula1>"Monthly,Daily,Quarterly,Annual"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BAEB-4853-47CB-9587-BE189961A1A2}">
  <sheetPr>
    <tabColor rgb="FF2563EB"/>
  </sheetPr>
  <dimension ref="A1:J7"/>
  <sheetViews>
    <sheetView zoomScaleNormal="100" workbookViewId="0"/>
  </sheetViews>
  <sheetFormatPr defaultColWidth="8.6328125" defaultRowHeight="14.5" x14ac:dyDescent="0.35"/>
  <cols>
    <col min="1" max="2" width="14" style="2" customWidth="1"/>
    <col min="3" max="3" width="24" style="2" customWidth="1"/>
    <col min="4" max="4" width="14" style="2" customWidth="1"/>
    <col min="5" max="5" width="10" style="2" customWidth="1"/>
    <col min="6" max="6" width="12" style="2" customWidth="1"/>
    <col min="7" max="8" width="14" style="2" customWidth="1"/>
    <col min="9" max="9" width="10" style="2" customWidth="1"/>
    <col min="10" max="10" width="20" style="2" customWidth="1"/>
    <col min="11" max="16384" width="8.6328125" style="2"/>
  </cols>
  <sheetData>
    <row r="1" spans="1:10" ht="15" customHeight="1" x14ac:dyDescent="0.35">
      <c r="A1" s="19" t="s">
        <v>157</v>
      </c>
      <c r="B1" s="19" t="s">
        <v>158</v>
      </c>
      <c r="C1" s="19" t="s">
        <v>57</v>
      </c>
      <c r="D1" s="19" t="s">
        <v>58</v>
      </c>
      <c r="E1" s="19" t="s">
        <v>159</v>
      </c>
      <c r="F1" s="19" t="s">
        <v>104</v>
      </c>
      <c r="G1" s="19" t="s">
        <v>160</v>
      </c>
      <c r="H1" s="19" t="s">
        <v>161</v>
      </c>
      <c r="I1" s="19" t="s">
        <v>101</v>
      </c>
      <c r="J1" s="19" t="s">
        <v>114</v>
      </c>
    </row>
    <row r="2" spans="1:10" ht="15" customHeight="1" x14ac:dyDescent="0.35">
      <c r="A2" s="15"/>
      <c r="B2" s="15"/>
      <c r="C2" s="15"/>
      <c r="D2" s="15"/>
      <c r="E2" s="15"/>
      <c r="F2" s="15"/>
      <c r="G2" s="15"/>
      <c r="H2" s="13">
        <f>F2*G2</f>
        <v>0</v>
      </c>
      <c r="I2" s="15"/>
      <c r="J2" s="15"/>
    </row>
    <row r="3" spans="1:10" ht="15" customHeight="1" x14ac:dyDescent="0.35">
      <c r="A3" s="25">
        <v>46203</v>
      </c>
      <c r="B3" s="22" t="s">
        <v>162</v>
      </c>
      <c r="C3" s="22" t="s">
        <v>74</v>
      </c>
      <c r="D3" s="22" t="s">
        <v>75</v>
      </c>
      <c r="E3" s="22" t="s">
        <v>80</v>
      </c>
      <c r="F3" s="30">
        <v>17.48</v>
      </c>
      <c r="G3" s="32">
        <v>1674.6</v>
      </c>
      <c r="H3" s="28">
        <f>F3*G3</f>
        <v>29272.007999999998</v>
      </c>
      <c r="I3" s="22">
        <v>3</v>
      </c>
      <c r="J3" s="22"/>
    </row>
    <row r="4" spans="1:10" x14ac:dyDescent="0.35">
      <c r="A4" s="25">
        <v>46203</v>
      </c>
      <c r="B4" s="22" t="s">
        <v>163</v>
      </c>
      <c r="C4" s="22" t="s">
        <v>150</v>
      </c>
      <c r="D4" s="22" t="s">
        <v>163</v>
      </c>
      <c r="E4" s="22" t="s">
        <v>164</v>
      </c>
      <c r="F4" s="30">
        <v>1</v>
      </c>
      <c r="G4" s="32">
        <v>210000</v>
      </c>
      <c r="H4" s="28">
        <f>F4*G4</f>
        <v>210000</v>
      </c>
      <c r="I4" s="22">
        <v>1</v>
      </c>
      <c r="J4" s="22"/>
    </row>
    <row r="5" spans="1:10" x14ac:dyDescent="0.35">
      <c r="A5" s="25">
        <v>46203</v>
      </c>
      <c r="B5" s="22" t="s">
        <v>165</v>
      </c>
      <c r="C5" s="22" t="s">
        <v>153</v>
      </c>
      <c r="D5" s="22" t="s">
        <v>165</v>
      </c>
      <c r="E5" s="22" t="s">
        <v>164</v>
      </c>
      <c r="F5" s="30">
        <v>1</v>
      </c>
      <c r="G5" s="32">
        <v>94580.4</v>
      </c>
      <c r="H5" s="28">
        <f>F5*G5</f>
        <v>94580.4</v>
      </c>
      <c r="I5" s="22">
        <v>1</v>
      </c>
      <c r="J5" s="22"/>
    </row>
    <row r="6" spans="1:10" x14ac:dyDescent="0.35">
      <c r="A6" s="25">
        <v>46203</v>
      </c>
      <c r="B6" s="22" t="s">
        <v>166</v>
      </c>
      <c r="C6" s="22" t="s">
        <v>167</v>
      </c>
      <c r="D6" s="22" t="s">
        <v>166</v>
      </c>
      <c r="E6" s="22" t="s">
        <v>164</v>
      </c>
      <c r="F6" s="30">
        <v>1</v>
      </c>
      <c r="G6" s="32">
        <v>5000</v>
      </c>
      <c r="H6" s="28">
        <f>F6*G6</f>
        <v>5000</v>
      </c>
      <c r="I6" s="22">
        <v>1</v>
      </c>
      <c r="J6" s="22"/>
    </row>
    <row r="7" spans="1:10" x14ac:dyDescent="0.35">
      <c r="A7" s="21" t="s">
        <v>168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2BB6-6A64-40FB-9CE7-AAB7F7C3A796}">
  <sheetPr>
    <tabColor rgb="FF2563EB"/>
  </sheetPr>
  <dimension ref="A1:F5"/>
  <sheetViews>
    <sheetView zoomScaleNormal="100" workbookViewId="0"/>
  </sheetViews>
  <sheetFormatPr defaultColWidth="8.6328125" defaultRowHeight="14.5" x14ac:dyDescent="0.35"/>
  <cols>
    <col min="1" max="1" width="18" style="2" customWidth="1"/>
    <col min="2" max="3" width="16" style="2" customWidth="1"/>
    <col min="4" max="4" width="14" style="2" customWidth="1"/>
    <col min="5" max="5" width="12" style="2" customWidth="1"/>
    <col min="6" max="6" width="30" style="2" customWidth="1"/>
    <col min="7" max="16384" width="8.6328125" style="2"/>
  </cols>
  <sheetData>
    <row r="1" spans="1:6" ht="15" customHeight="1" x14ac:dyDescent="0.35">
      <c r="A1" s="19" t="s">
        <v>169</v>
      </c>
      <c r="B1" s="19" t="s">
        <v>170</v>
      </c>
      <c r="C1" s="19" t="s">
        <v>171</v>
      </c>
      <c r="D1" s="19" t="s">
        <v>172</v>
      </c>
      <c r="E1" s="19" t="s">
        <v>173</v>
      </c>
      <c r="F1" s="19" t="s">
        <v>114</v>
      </c>
    </row>
    <row r="2" spans="1:6" ht="15" customHeight="1" x14ac:dyDescent="0.35">
      <c r="A2" s="15"/>
      <c r="B2" s="15"/>
      <c r="C2" s="15"/>
      <c r="D2" s="15"/>
      <c r="E2" s="15"/>
      <c r="F2" s="15"/>
    </row>
    <row r="3" spans="1:6" ht="15" customHeight="1" x14ac:dyDescent="0.35">
      <c r="A3" s="25">
        <v>46032</v>
      </c>
      <c r="B3" s="22" t="s">
        <v>80</v>
      </c>
      <c r="C3" s="32">
        <v>1500</v>
      </c>
      <c r="D3" s="32">
        <v>26220</v>
      </c>
      <c r="E3" s="32">
        <v>17.48</v>
      </c>
      <c r="F3" s="22" t="s">
        <v>174</v>
      </c>
    </row>
    <row r="4" spans="1:6" x14ac:dyDescent="0.35">
      <c r="A4" s="25">
        <v>46096</v>
      </c>
      <c r="B4" s="22" t="s">
        <v>80</v>
      </c>
      <c r="C4" s="32">
        <v>800</v>
      </c>
      <c r="D4" s="32">
        <v>13888</v>
      </c>
      <c r="E4" s="32">
        <v>17.36</v>
      </c>
      <c r="F4" s="22" t="s">
        <v>175</v>
      </c>
    </row>
    <row r="5" spans="1:6" x14ac:dyDescent="0.35">
      <c r="A5" s="21" t="s">
        <v>176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Instructions</vt:lpstr>
      <vt:lpstr>⚡ Quick Entry</vt:lpstr>
      <vt:lpstr>Dim_Assets</vt:lpstr>
      <vt:lpstr>Dim_FXRates</vt:lpstr>
      <vt:lpstr>Fact_Transactions</vt:lpstr>
      <vt:lpstr>Fact_CurrentPrices</vt:lpstr>
      <vt:lpstr>Fact_Dividends</vt:lpstr>
      <vt:lpstr>Fact_FixedIncome</vt:lpstr>
      <vt:lpstr>Fact_PortfolioSnapshot</vt:lpstr>
      <vt:lpstr>Fact_FXTransactions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JIMENEZ JUAREZ Salvador</dc:creator>
  <cp:lastModifiedBy>JIMENEZ JUAREZ Salvador</cp:lastModifiedBy>
  <dcterms:created xsi:type="dcterms:W3CDTF">2026-07-22T16:12:23Z</dcterms:created>
  <dcterms:modified xsi:type="dcterms:W3CDTF">2026-07-22T18:22:07Z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1d4428f1-2d85-4569-93c7-c8cd157a7e30</vt:lpwstr>
  </property>
</Properties>
</file>