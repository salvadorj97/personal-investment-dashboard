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sers\Salvador\Desktop\dashboard_backgrounds_v2\"/>
    </mc:Choice>
  </mc:AlternateContent>
  <xr:revisionPtr revIDLastSave="0" documentId="13_ncr:1_{FCBF55B4-E39D-45D9-8FF9-AE3687A4E19E}" xr6:coauthVersionLast="47" xr6:coauthVersionMax="47" xr10:uidLastSave="{00000000-0000-0000-0000-000000000000}"/>
  <bookViews>
    <workbookView xWindow="-110" yWindow="-110" windowWidth="21820" windowHeight="13900" tabRatio="500" firstSheet="5" activeTab="7" xr2:uid="{00000000-000D-0000-FFFF-FFFF00000000}"/>
  </bookViews>
  <sheets>
    <sheet name="Dim_Assets" sheetId="1" r:id="rId1"/>
    <sheet name="Dim_FXRates" sheetId="2" r:id="rId2"/>
    <sheet name="Fact_Transactions" sheetId="3" r:id="rId3"/>
    <sheet name="Fact_CurrentPrices" sheetId="4" r:id="rId4"/>
    <sheet name="Fact_Dividends" sheetId="5" r:id="rId5"/>
    <sheet name="Fact_FixedIncome" sheetId="6" r:id="rId6"/>
    <sheet name="Fact_PortfolioSnapshot" sheetId="7" r:id="rId7"/>
    <sheet name="Fact_FXTransaction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4" l="1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<sst xmlns="http://schemas.openxmlformats.org/spreadsheetml/2006/main" count="893" uniqueCount="250">
  <si>
    <t>Ticker</t>
  </si>
  <si>
    <t>AssetName</t>
  </si>
  <si>
    <t>AssetClass</t>
  </si>
  <si>
    <t>AssetSubClass</t>
  </si>
  <si>
    <t>Sector</t>
  </si>
  <si>
    <t>Industry</t>
  </si>
  <si>
    <t>Country</t>
  </si>
  <si>
    <t>Region</t>
  </si>
  <si>
    <t>BaseCurrency</t>
  </si>
  <si>
    <t>ExposureCurrency</t>
  </si>
  <si>
    <t>IncomeType</t>
  </si>
  <si>
    <t>IsDividendPaying</t>
  </si>
  <si>
    <t>GrowthProfile</t>
  </si>
  <si>
    <t>RiskLevel</t>
  </si>
  <si>
    <t>PortfolioType</t>
  </si>
  <si>
    <t>Status</t>
  </si>
  <si>
    <t>AssetKey</t>
  </si>
  <si>
    <t>SPY_US</t>
  </si>
  <si>
    <t>SPDR S&amp;P 500 ETF</t>
  </si>
  <si>
    <t>ETF</t>
  </si>
  <si>
    <t>Index ETF</t>
  </si>
  <si>
    <t>Broad Market</t>
  </si>
  <si>
    <t>United States</t>
  </si>
  <si>
    <t>North America</t>
  </si>
  <si>
    <t>USD</t>
  </si>
  <si>
    <t>Dividend</t>
  </si>
  <si>
    <t>Yes</t>
  </si>
  <si>
    <t>Balanced</t>
  </si>
  <si>
    <t>Medium</t>
  </si>
  <si>
    <t>Investment</t>
  </si>
  <si>
    <t>Active</t>
  </si>
  <si>
    <t>SPY_MX</t>
  </si>
  <si>
    <t>MXN</t>
  </si>
  <si>
    <t>QQQ_US</t>
  </si>
  <si>
    <t>Invesco QQQ Trust</t>
  </si>
  <si>
    <t>Tech ETF</t>
  </si>
  <si>
    <t>Technology</t>
  </si>
  <si>
    <t>Index ETF (Nasdaq 100)</t>
  </si>
  <si>
    <t>Growth</t>
  </si>
  <si>
    <t>High</t>
  </si>
  <si>
    <t>MSFT_US</t>
  </si>
  <si>
    <t>Microsoft Corp</t>
  </si>
  <si>
    <t>Equity</t>
  </si>
  <si>
    <t>US Equity</t>
  </si>
  <si>
    <t>Software</t>
  </si>
  <si>
    <t>AMZN_US</t>
  </si>
  <si>
    <t>Amazon.com INC</t>
  </si>
  <si>
    <t>E-commerce</t>
  </si>
  <si>
    <t>None</t>
  </si>
  <si>
    <t>No</t>
  </si>
  <si>
    <t>EWZ_US</t>
  </si>
  <si>
    <t>MSCI Brazil ETF</t>
  </si>
  <si>
    <t>Emerging Markets ETF</t>
  </si>
  <si>
    <t>Country ETF (Brazil)</t>
  </si>
  <si>
    <t>Brazil</t>
  </si>
  <si>
    <t>Latin America</t>
  </si>
  <si>
    <t>BRL</t>
  </si>
  <si>
    <t>EWG_US</t>
  </si>
  <si>
    <t>MSCI Germany ETF</t>
  </si>
  <si>
    <t>Developed Markets ETF</t>
  </si>
  <si>
    <t>Country ETF (Germany)</t>
  </si>
  <si>
    <t>Germany</t>
  </si>
  <si>
    <t>Europe</t>
  </si>
  <si>
    <t>EUR</t>
  </si>
  <si>
    <t>BIMBOA_MX</t>
  </si>
  <si>
    <t>Grupo Bimbo SAB</t>
  </si>
  <si>
    <t>Mexican Equity</t>
  </si>
  <si>
    <t>Consumer Staples</t>
  </si>
  <si>
    <t>Food Products</t>
  </si>
  <si>
    <t>Mexico</t>
  </si>
  <si>
    <t>KOFUBL_MX</t>
  </si>
  <si>
    <t>Coca-Cola FEMSA</t>
  </si>
  <si>
    <t>Beverages</t>
  </si>
  <si>
    <t>Income</t>
  </si>
  <si>
    <t>Low</t>
  </si>
  <si>
    <t>FUNO11_MX</t>
  </si>
  <si>
    <t>Fibra Uno</t>
  </si>
  <si>
    <t>REIT</t>
  </si>
  <si>
    <t>FIBRA</t>
  </si>
  <si>
    <t>Real Estate</t>
  </si>
  <si>
    <t>Distribution</t>
  </si>
  <si>
    <t>GLD_US</t>
  </si>
  <si>
    <t>SPDR Gold Shares</t>
  </si>
  <si>
    <t>Commodities</t>
  </si>
  <si>
    <t>Physical Gold ETF</t>
  </si>
  <si>
    <t>Closed</t>
  </si>
  <si>
    <t>TSLA_US</t>
  </si>
  <si>
    <t>Tesla Inc</t>
  </si>
  <si>
    <t>Electric Vehicles</t>
  </si>
  <si>
    <t>SOFIPO1_MX</t>
  </si>
  <si>
    <t>InverFin</t>
  </si>
  <si>
    <t>Fixed Income</t>
  </si>
  <si>
    <t>SOFIPO</t>
  </si>
  <si>
    <t>Financials</t>
  </si>
  <si>
    <t>Interest</t>
  </si>
  <si>
    <t>AHORRO1_MX</t>
  </si>
  <si>
    <t>AhorroFlex</t>
  </si>
  <si>
    <t>Savings</t>
  </si>
  <si>
    <t>Digital Savings</t>
  </si>
  <si>
    <t>Digital Banking</t>
  </si>
  <si>
    <t>FXDate</t>
  </si>
  <si>
    <t>CurrencyCode</t>
  </si>
  <si>
    <t>RateToMXN</t>
  </si>
  <si>
    <t>TransactionID</t>
  </si>
  <si>
    <t>TransactionDateTime</t>
  </si>
  <si>
    <t>TransactionDate</t>
  </si>
  <si>
    <t>Broker</t>
  </si>
  <si>
    <t>Market</t>
  </si>
  <si>
    <t>TransactionType</t>
  </si>
  <si>
    <t>Quantity</t>
  </si>
  <si>
    <t>PricePerUnit_Local</t>
  </si>
  <si>
    <t>TransactionCurrency</t>
  </si>
  <si>
    <t>FXRate_to_MXN</t>
  </si>
  <si>
    <t>GrossAmount_Local</t>
  </si>
  <si>
    <t>Commission_Local</t>
  </si>
  <si>
    <t>Taxes_Local</t>
  </si>
  <si>
    <t>NetAmount_Local</t>
  </si>
  <si>
    <t>GrossAmount_MXN</t>
  </si>
  <si>
    <t>Commission_MXN</t>
  </si>
  <si>
    <t>Taxes_MXN</t>
  </si>
  <si>
    <t>NetAmount_MXN</t>
  </si>
  <si>
    <t>OrderSource</t>
  </si>
  <si>
    <t>Notes</t>
  </si>
  <si>
    <t>TXN-20240315-001</t>
  </si>
  <si>
    <t>15 Mar 2024 - 10:30 h</t>
  </si>
  <si>
    <t>SPY</t>
  </si>
  <si>
    <t>BrokerX</t>
  </si>
  <si>
    <t>US</t>
  </si>
  <si>
    <t>Buy</t>
  </si>
  <si>
    <t>App</t>
  </si>
  <si>
    <t>TXN-20240620-002</t>
  </si>
  <si>
    <t>20 Jun 2024 - 11:15 h</t>
  </si>
  <si>
    <t>MX</t>
  </si>
  <si>
    <t>TXN-20240801-003</t>
  </si>
  <si>
    <t>01 Aug 2024 - 09:45 h</t>
  </si>
  <si>
    <t>QQQ</t>
  </si>
  <si>
    <t>TXN-20241010-004</t>
  </si>
  <si>
    <t>10 Oct 2024 - 14:20 h</t>
  </si>
  <si>
    <t>MSFT</t>
  </si>
  <si>
    <t>TXN-20250115-005</t>
  </si>
  <si>
    <t>15 Jan 2025 - 10:00 h</t>
  </si>
  <si>
    <t>AMZN</t>
  </si>
  <si>
    <t>TXN-20250301-006</t>
  </si>
  <si>
    <t>01 Mar 2025 - 11:30 h</t>
  </si>
  <si>
    <t>EWZ</t>
  </si>
  <si>
    <t>TXN-20250415-007</t>
  </si>
  <si>
    <t>15 Apr 2025 - 09:15 h</t>
  </si>
  <si>
    <t>EWG</t>
  </si>
  <si>
    <t>TXN-20250601-008</t>
  </si>
  <si>
    <t>01 Jun 2025 - 10:45 h</t>
  </si>
  <si>
    <t>BIMBOA</t>
  </si>
  <si>
    <t>TXN-20250801-009</t>
  </si>
  <si>
    <t>01 Aug 2025 - 11:00 h</t>
  </si>
  <si>
    <t>KOFUBL</t>
  </si>
  <si>
    <t>TXN-20251001-010</t>
  </si>
  <si>
    <t>01 Oct 2025 - 09:30 h</t>
  </si>
  <si>
    <t>FUNO11</t>
  </si>
  <si>
    <t>TXN-20230601-011</t>
  </si>
  <si>
    <t>01 Jun 2023 - 10:00 h</t>
  </si>
  <si>
    <t>GLD</t>
  </si>
  <si>
    <t>TXN-20231201-012</t>
  </si>
  <si>
    <t>01 Dec 2023 - 11:00 h</t>
  </si>
  <si>
    <t>Sell</t>
  </si>
  <si>
    <t>TXN-20230301-013</t>
  </si>
  <si>
    <t>01 Mar 2023 - 09:00 h</t>
  </si>
  <si>
    <t>TSLA</t>
  </si>
  <si>
    <t>TXN-20231001-014</t>
  </si>
  <si>
    <t>01 Oct 2023 - 14:00 h</t>
  </si>
  <si>
    <t>PriceCurrency</t>
  </si>
  <si>
    <t>FX_Rate_RT</t>
  </si>
  <si>
    <t>PriceDate</t>
  </si>
  <si>
    <t>CurrentPrice_Local</t>
  </si>
  <si>
    <t>CurrentPrice_MXN</t>
  </si>
  <si>
    <t>DividendID</t>
  </si>
  <si>
    <t>DividendDateTime</t>
  </si>
  <si>
    <t>DividendDate</t>
  </si>
  <si>
    <t>SharesHeld</t>
  </si>
  <si>
    <t>DividendType</t>
  </si>
  <si>
    <t>DividendPerShare_Local</t>
  </si>
  <si>
    <t>DividendCurrency</t>
  </si>
  <si>
    <t>GrossDividend_Local</t>
  </si>
  <si>
    <t>WithholdingTax_Local</t>
  </si>
  <si>
    <t>NetDividend_Local</t>
  </si>
  <si>
    <t>GrossDividend_MXN</t>
  </si>
  <si>
    <t>WithholdingTax_MXN</t>
  </si>
  <si>
    <t>NetDividend_MXN</t>
  </si>
  <si>
    <t>ReinvestedFlag</t>
  </si>
  <si>
    <t>ReinvestedAmount_MXN</t>
  </si>
  <si>
    <t>DIV-20240930-001</t>
  </si>
  <si>
    <t>30 Sep 2024</t>
  </si>
  <si>
    <t>Cash Dividend</t>
  </si>
  <si>
    <t>Q3 2024</t>
  </si>
  <si>
    <t>DIV-20241231-002</t>
  </si>
  <si>
    <t>31 Dec 2024</t>
  </si>
  <si>
    <t>Q4 2024</t>
  </si>
  <si>
    <t>DIV-20250331-003</t>
  </si>
  <si>
    <t>31 Mar 2025</t>
  </si>
  <si>
    <t>Q1 2025</t>
  </si>
  <si>
    <t>DIV-20250630-004</t>
  </si>
  <si>
    <t>30 Jun 2025</t>
  </si>
  <si>
    <t>Q2 2025</t>
  </si>
  <si>
    <t>DIV-20250930-005</t>
  </si>
  <si>
    <t>30 Sep 2025</t>
  </si>
  <si>
    <t>Q3 2025</t>
  </si>
  <si>
    <t>DIV-20251231-006</t>
  </si>
  <si>
    <t>31 Dec 2025</t>
  </si>
  <si>
    <t>Q4 2025</t>
  </si>
  <si>
    <t>DIV-20260331-007</t>
  </si>
  <si>
    <t>31 Mar 2026</t>
  </si>
  <si>
    <t>Q1 2026</t>
  </si>
  <si>
    <t>DIV-20251130-008</t>
  </si>
  <si>
    <t>30 Nov 2025</t>
  </si>
  <si>
    <t>Dividendo anual</t>
  </si>
  <si>
    <t>DIV-20260228-009</t>
  </si>
  <si>
    <t>28 Feb 2026</t>
  </si>
  <si>
    <t>Dividendo semestral</t>
  </si>
  <si>
    <t>DIV-20260331-010</t>
  </si>
  <si>
    <t>Distribución trimestral</t>
  </si>
  <si>
    <t>DIV-20260630-011</t>
  </si>
  <si>
    <t>30 Jun 2026</t>
  </si>
  <si>
    <t>Q2 2026</t>
  </si>
  <si>
    <t>StartDate</t>
  </si>
  <si>
    <t>EndDate</t>
  </si>
  <si>
    <t>Principal_MXN</t>
  </si>
  <si>
    <t>AnnualRate</t>
  </si>
  <si>
    <t>PaymentFrequency</t>
  </si>
  <si>
    <t>Monthly</t>
  </si>
  <si>
    <t>Matured</t>
  </si>
  <si>
    <t>Daily</t>
  </si>
  <si>
    <t>Estimated</t>
  </si>
  <si>
    <t>SnapshotDate</t>
  </si>
  <si>
    <t>AssetGroup</t>
  </si>
  <si>
    <t>Currency</t>
  </si>
  <si>
    <t>Value_Local</t>
  </si>
  <si>
    <t>Value_MXN</t>
  </si>
  <si>
    <t>Equities</t>
  </si>
  <si>
    <t>MX position</t>
  </si>
  <si>
    <t>Cash</t>
  </si>
  <si>
    <t>Efectivo MXN</t>
  </si>
  <si>
    <t>FXTransactionDate</t>
  </si>
  <si>
    <t>CurrencyBought</t>
  </si>
  <si>
    <t>AmountCurrency</t>
  </si>
  <si>
    <t>MXN_Paid</t>
  </si>
  <si>
    <t>FXRate</t>
  </si>
  <si>
    <t>Compra USD para SPY</t>
  </si>
  <si>
    <t>Compra USD para QQQ</t>
  </si>
  <si>
    <t>Compra USD para MSFT</t>
  </si>
  <si>
    <t>Compra USD para AMZN</t>
  </si>
  <si>
    <t>Compra USD para EWZ</t>
  </si>
  <si>
    <t>Compra USD para EWG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</si>
</sst>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6892CF9-4C96-4B54-AE9C-5FE034EA5882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468A1-2913-4DF8-8EF1-41C2F6E6D84E}" name="Dim_Assets" displayName="Dim_Assets" ref="A1:Q15" totalsRowShown="0" headerRowDxfId="15">
  <autoFilter ref="A1:Q15" xr:uid="{3FD468A1-2913-4DF8-8EF1-41C2F6E6D84E}"/>
  <tableColumns count="17">
    <tableColumn id="1" xr3:uid="{CB82D1DB-0CFA-457A-ADA2-474D443535AC}" name="Ticker"/>
    <tableColumn id="2" xr3:uid="{EBE227DE-5CEB-4D76-9FFC-EE9E83A921DC}" name="AssetName"/>
    <tableColumn id="3" xr3:uid="{07DFA7CE-850D-4FF3-A95F-C8AD51BEB515}" name="AssetClass"/>
    <tableColumn id="4" xr3:uid="{8A9F12E6-FA00-44C1-9282-8EF71645B5B7}" name="AssetSubClass"/>
    <tableColumn id="5" xr3:uid="{DB447687-27AC-45EC-819F-BDE7D57DEE52}" name="Sector"/>
    <tableColumn id="6" xr3:uid="{B554B07F-E328-4196-B810-3D23839D22E4}" name="Industry"/>
    <tableColumn id="7" xr3:uid="{63DCBBC1-BDEA-4C74-ADFB-B257C79F72D7}" name="Country"/>
    <tableColumn id="8" xr3:uid="{FE666BC2-768C-4726-97B4-5E7D91F6F3AF}" name="Region"/>
    <tableColumn id="9" xr3:uid="{88FC7AA9-03ED-40F0-A501-8BFAA009A5C1}" name="BaseCurrency"/>
    <tableColumn id="10" xr3:uid="{793F2C3A-3C12-4229-812E-72583DA46DC7}" name="ExposureCurrency"/>
    <tableColumn id="11" xr3:uid="{68EEA311-ED5C-4B60-93FA-34E66D0D9E42}" name="IncomeType"/>
    <tableColumn id="12" xr3:uid="{F5689F61-BCEB-43C5-B932-CDE89DE6FD25}" name="IsDividendPaying"/>
    <tableColumn id="13" xr3:uid="{24BDB463-ED8A-47C4-A164-2F7796CE6646}" name="GrowthProfile"/>
    <tableColumn id="14" xr3:uid="{3B4692F6-F598-4E8A-98D6-E37D5FAD1BA8}" name="RiskLevel"/>
    <tableColumn id="15" xr3:uid="{D33E4913-1300-4378-AE5E-BC8D9F43E557}" name="PortfolioType"/>
    <tableColumn id="16" xr3:uid="{739CD544-5031-4CAF-B38A-BD837B6CC35E}" name="Status"/>
    <tableColumn id="17" xr3:uid="{FFA360BD-D5DF-4203-899F-076C9EF6AC18}" name="Asset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621145-09A3-4953-B840-C9E6C8DB9C0D}" name="Dim_FXRates" displayName="Dim_FXRates" ref="A1:C12" totalsRowShown="0" headerRowDxfId="13">
  <autoFilter ref="A1:C12" xr:uid="{CD621145-09A3-4953-B840-C9E6C8DB9C0D}"/>
  <tableColumns count="3">
    <tableColumn id="1" xr3:uid="{08E25BCA-8E50-4CA2-8D9E-213897460646}" name="FXDate" dataDxfId="14"/>
    <tableColumn id="2" xr3:uid="{108276FC-2B5E-4BD3-B47F-8E9DCD3BE604}" name="CurrencyCode"/>
    <tableColumn id="3" xr3:uid="{EC319BFF-1440-4450-B5B1-3AD7F0FEB127}" name="RateToMX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643D88-01F1-488A-AA02-A339F830FEB0}" name="Fact_Transactions" displayName="Fact_Transactions" ref="A1:X15" totalsRowShown="0" headerRowDxfId="11">
  <autoFilter ref="A1:X15" xr:uid="{43643D88-01F1-488A-AA02-A339F830FEB0}"/>
  <tableColumns count="24">
    <tableColumn id="1" xr3:uid="{278EE524-3DA5-4E88-A398-66238C777DB4}" name="TransactionID"/>
    <tableColumn id="2" xr3:uid="{4C99644E-59E2-4416-A5BC-54DCEF257FE3}" name="TransactionDateTime"/>
    <tableColumn id="3" xr3:uid="{3E6A94E7-1D7C-4001-B44B-42718BFFD6F8}" name="TransactionDate" dataDxfId="12"/>
    <tableColumn id="4" xr3:uid="{8B466017-6D13-492B-B188-F38B6F1D11A3}" name="Ticker"/>
    <tableColumn id="5" xr3:uid="{1AC6CEBD-784F-41D1-B44D-61DE928E393E}" name="AssetName"/>
    <tableColumn id="6" xr3:uid="{FDAB1A79-F5B3-4B49-9FDC-4FC18534B3CB}" name="Broker"/>
    <tableColumn id="7" xr3:uid="{64321E2B-0190-4021-8BAE-C69D8BFEA460}" name="Market"/>
    <tableColumn id="8" xr3:uid="{95860C0C-CC12-4501-94AE-558CB1CD5608}" name="TransactionType"/>
    <tableColumn id="9" xr3:uid="{9A49C73F-15E6-44D0-A3D6-3C79D68EDAC0}" name="Quantity"/>
    <tableColumn id="10" xr3:uid="{F268FBA9-8460-4B0C-9B14-5024AA3FA40D}" name="PricePerUnit_Local"/>
    <tableColumn id="11" xr3:uid="{5CB14F87-2EAD-4FE8-A99E-105ED7F24188}" name="TransactionCurrency"/>
    <tableColumn id="12" xr3:uid="{5871034A-F951-451D-ABC9-A9F1767F885D}" name="FXRate_to_MXN"/>
    <tableColumn id="13" xr3:uid="{380EE96F-9E29-4464-93E0-DCED81A7DAD4}" name="GrossAmount_Local"/>
    <tableColumn id="14" xr3:uid="{D1A571E8-3974-4906-AAC3-53E6149C12E0}" name="Commission_Local"/>
    <tableColumn id="15" xr3:uid="{B1D98BAB-E656-43A6-9A76-DD119D9FDAD6}" name="Taxes_Local"/>
    <tableColumn id="16" xr3:uid="{CF60E233-86A4-4178-AE32-E058AF1641D2}" name="NetAmount_Local"/>
    <tableColumn id="17" xr3:uid="{11848D9C-5E22-46D0-81D2-EEEEBC4AE4ED}" name="GrossAmount_MXN"/>
    <tableColumn id="18" xr3:uid="{2F550686-667A-4CDA-9C75-2B5E84741769}" name="Commission_MXN"/>
    <tableColumn id="19" xr3:uid="{2D24AAF5-AEA0-4279-9E05-DB2A293F6EEE}" name="Taxes_MXN"/>
    <tableColumn id="20" xr3:uid="{E4241643-1BC7-4CD8-9092-9741EF2B6BB6}" name="NetAmount_MXN"/>
    <tableColumn id="21" xr3:uid="{3CBA2CAC-21EA-4F6B-BE48-1A1EFAA21943}" name="OrderSource"/>
    <tableColumn id="22" xr3:uid="{F9BAA822-88AB-4570-B6A7-6659C7486434}" name="Status"/>
    <tableColumn id="23" xr3:uid="{A0E1FDB7-9E17-418A-B233-0B9E411F9CB7}" name="Notes"/>
    <tableColumn id="24" xr3:uid="{A6A6842E-F32B-401B-9C26-C1819890F803}" name="Asset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F4ADB6-734C-473F-BB45-91D4B1427C69}" name="Fact_CurrentPrices" displayName="Fact_CurrentPrices" ref="A1:K11" totalsRowShown="0" headerRowDxfId="9">
  <autoFilter ref="A1:K11" xr:uid="{50F4ADB6-734C-473F-BB45-91D4B1427C69}"/>
  <tableColumns count="11">
    <tableColumn id="1" xr3:uid="{8D9EC4AF-A5FE-4257-B024-520168045489}" name="AssetKey"/>
    <tableColumn id="2" xr3:uid="{8EE6CB74-2222-4FBF-9368-112FB3EEDD11}" name="Ticker"/>
    <tableColumn id="3" xr3:uid="{7D00B678-D149-4247-852E-250B3FECF2AC}" name="AssetName"/>
    <tableColumn id="4" xr3:uid="{759131A3-E16E-42D9-9B5B-C5F5B5748C24}" name="Market"/>
    <tableColumn id="5" xr3:uid="{9CC42FF7-3B12-4055-8195-634F6D2A8FE2}" name="PriceCurrency"/>
    <tableColumn id="6" xr3:uid="{7983B19C-8E9C-44AD-9DEA-D905C257A441}" name="FX_Rate_RT"/>
    <tableColumn id="7" xr3:uid="{878B8605-1B2D-4AE3-BC8E-8D44665C17A1}" name="FXRate_to_MXN"/>
    <tableColumn id="8" xr3:uid="{763C375A-681C-4A13-8B5E-7B968F43A130}" name="PriceDate" dataDxfId="10"/>
    <tableColumn id="9" xr3:uid="{B49564ED-FF52-4C57-8926-675BE1E58320}" name="CurrentPrice_Local"/>
    <tableColumn id="10" xr3:uid="{7FACB381-909B-4271-96F0-A6BA97646934}" name="CurrentPrice_MXN"/>
    <tableColumn id="11" xr3:uid="{13C13F33-A679-4C10-A713-C24B6EA407D7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10284D-48B9-42AE-AA0A-087544E7192F}" name="Fact_Dividends" displayName="Fact_Dividends" ref="A1:U12" totalsRowShown="0" headerRowDxfId="7">
  <autoFilter ref="A1:U12" xr:uid="{1A10284D-48B9-42AE-AA0A-087544E7192F}"/>
  <tableColumns count="21">
    <tableColumn id="1" xr3:uid="{0FEE7F19-6D7D-4658-9F0E-CA7B37E2185B}" name="DividendID"/>
    <tableColumn id="2" xr3:uid="{7D7C3672-1447-4D45-8335-9B9A767760D1}" name="DividendDateTime"/>
    <tableColumn id="3" xr3:uid="{42174CB4-7D83-4FAB-BC2E-31D7A57876C3}" name="DividendDate" dataDxfId="8"/>
    <tableColumn id="4" xr3:uid="{53327BB7-FC48-4FCF-9757-029EFCFAE9F3}" name="Ticker"/>
    <tableColumn id="5" xr3:uid="{3F4D66A5-B8E6-476F-99B3-50AC8E936FA6}" name="AssetName"/>
    <tableColumn id="6" xr3:uid="{F550FD10-6B32-4AFB-8597-E087A0FB6EC0}" name="Broker"/>
    <tableColumn id="7" xr3:uid="{4AE92286-6BDB-45A2-8A0C-2B64715CD44B}" name="Market"/>
    <tableColumn id="8" xr3:uid="{65F71132-20D9-4D48-8966-35C9C3A64CC4}" name="SharesHeld"/>
    <tableColumn id="9" xr3:uid="{3AC15E15-B001-4A66-AFE0-32FC5BA7B879}" name="DividendType"/>
    <tableColumn id="10" xr3:uid="{323252E2-4EE0-493C-9315-E72D608CC61A}" name="DividendPerShare_Local"/>
    <tableColumn id="11" xr3:uid="{1F0D80FD-AEC4-4A72-A24B-80EB1A0B9667}" name="DividendCurrency"/>
    <tableColumn id="12" xr3:uid="{CA0FA645-E691-426E-9E78-29A966483D1E}" name="FXRate_to_MXN"/>
    <tableColumn id="13" xr3:uid="{7D783E6A-5245-44FC-9A4F-440DB972FBBB}" name="GrossDividend_Local"/>
    <tableColumn id="14" xr3:uid="{56AAE754-165A-461C-8132-B3C084D7B199}" name="WithholdingTax_Local"/>
    <tableColumn id="15" xr3:uid="{94407E16-F742-48BB-8AB5-0824E59C9422}" name="NetDividend_Local"/>
    <tableColumn id="16" xr3:uid="{08FB8FDB-341A-4F06-919F-64A3971C11C5}" name="GrossDividend_MXN"/>
    <tableColumn id="17" xr3:uid="{AF253028-D808-45E8-A294-F999CC981CBF}" name="WithholdingTax_MXN"/>
    <tableColumn id="18" xr3:uid="{DB8E0359-DEBA-4227-9126-13E53571D8BE}" name="NetDividend_MXN"/>
    <tableColumn id="19" xr3:uid="{C71B7CF5-9050-45B3-908C-62EB69F48B28}" name="ReinvestedFlag"/>
    <tableColumn id="20" xr3:uid="{9D942A99-4D70-40F6-89E9-F11BE9D43768}" name="ReinvestedAmount_MXN"/>
    <tableColumn id="21" xr3:uid="{B8DC44BD-51A1-4E5C-9989-28D473ED0067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430A56-682E-40E1-8EBD-4DC85945ED40}" name="Fact_FixedIncome" displayName="Fact_FixedIncome" ref="A1:I22" totalsRowShown="0" headerRowDxfId="4">
  <autoFilter ref="A1:I22" xr:uid="{3B430A56-682E-40E1-8EBD-4DC85945ED40}"/>
  <tableColumns count="9">
    <tableColumn id="1" xr3:uid="{8B6E8C26-36AD-4EED-BF60-D60B368C7A45}" name="AssetKey"/>
    <tableColumn id="2" xr3:uid="{7BB60BC3-909C-4982-8ABC-AC2029AB9AD4}" name="AssetName"/>
    <tableColumn id="3" xr3:uid="{6D1C02BC-026D-466E-99FB-9A67042CA5D5}" name="StartDate" dataDxfId="6"/>
    <tableColumn id="4" xr3:uid="{402224BD-0836-4688-8160-8790079D77A7}" name="EndDate" dataDxfId="5"/>
    <tableColumn id="5" xr3:uid="{17CF82EF-E74B-4012-BB34-22AF5E00A08D}" name="Principal_MXN"/>
    <tableColumn id="6" xr3:uid="{111B6AF8-51EE-4F32-9DA3-40687C1DE012}" name="AnnualRate"/>
    <tableColumn id="7" xr3:uid="{4F8F83A7-41DB-42E2-835E-AE46DC5784A7}" name="PaymentFrequency"/>
    <tableColumn id="8" xr3:uid="{9A75F899-BF89-4AA8-9251-E158D4BA65F0}" name="Status"/>
    <tableColumn id="9" xr3:uid="{F6ADF98C-F0D2-4B8D-8273-266FACBA0EA1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CF100E-9B73-4A1D-874A-C73F28291236}" name="Fact_PortfolioSnapshot" displayName="Fact_PortfolioSnapshot" ref="A1:J30" totalsRowShown="0" headerRowDxfId="2">
  <autoFilter ref="A1:J30" xr:uid="{66CF100E-9B73-4A1D-874A-C73F28291236}"/>
  <tableColumns count="10">
    <tableColumn id="1" xr3:uid="{1D42AE28-A6D0-4EC0-A520-6167A9CEAB71}" name="SnapshotDate" dataDxfId="3"/>
    <tableColumn id="2" xr3:uid="{2B203325-4759-438E-8AA3-64D903CE24EF}" name="AssetGroup"/>
    <tableColumn id="3" xr3:uid="{C9DF8C71-7A09-4A7D-847A-7B1D72D3A6F0}" name="AssetName"/>
    <tableColumn id="4" xr3:uid="{4426BA47-4F97-499B-81DD-962165B6EC0A}" name="AssetClass"/>
    <tableColumn id="5" xr3:uid="{8D5700DB-6EAF-4E89-97EC-F3A3A8642443}" name="Currency"/>
    <tableColumn id="6" xr3:uid="{35AE61D2-490B-4F58-9E3E-702315406D3D}" name="FXRate_to_MXN"/>
    <tableColumn id="7" xr3:uid="{E2125020-1578-428D-885F-49B9D615723A}" name="Value_Local"/>
    <tableColumn id="8" xr3:uid="{AFCA74D0-215A-4777-A2FD-2CD4E0E29948}" name="Value_MXN"/>
    <tableColumn id="9" xr3:uid="{06AD3200-7AD5-4753-99F6-4F785F3450E3}" name="Quantity"/>
    <tableColumn id="10" xr3:uid="{DCE4744F-FBDD-4B7D-A4DF-CAE3343152DD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985DE4-BE3F-4669-8D3C-D8520419434D}" name="Fact_FXTransactions" displayName="Fact_FXTransactions" ref="A1:F7" totalsRowShown="0" headerRowDxfId="0">
  <autoFilter ref="A1:F7" xr:uid="{C5985DE4-BE3F-4669-8D3C-D8520419434D}"/>
  <tableColumns count="6">
    <tableColumn id="1" xr3:uid="{C4AD908C-27EC-40B6-A431-75C2A6252E71}" name="FXTransactionDate" dataDxfId="1"/>
    <tableColumn id="2" xr3:uid="{2481BB63-B058-4190-A3F2-5A26E83064DC}" name="CurrencyBought"/>
    <tableColumn id="3" xr3:uid="{412C1066-DADC-4A87-970C-103A1FB91051}" name="AmountCurrency"/>
    <tableColumn id="4" xr3:uid="{F73E7347-E8DE-437B-BD0E-315DB7C16473}" name="MXN_Paid"/>
    <tableColumn id="5" xr3:uid="{EFA55142-E218-43A9-9C88-8C6B80F44043}" name="FXRate"/>
    <tableColumn id="6" xr3:uid="{93EEA098-34E6-4ACF-9086-F5AD198EB28F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zoomScaleNormal="100" workbookViewId="0">
      <selection sqref="A1:Q15"/>
    </sheetView>
  </sheetViews>
  <sheetFormatPr defaultColWidth="8.6328125" defaultRowHeight="14.5" x14ac:dyDescent="0.35"/>
  <cols>
    <col min="1" max="1" width="12" customWidth="1"/>
    <col min="2" max="2" width="28" customWidth="1"/>
    <col min="3" max="3" width="14" customWidth="1"/>
    <col min="4" max="4" width="20" customWidth="1"/>
    <col min="5" max="5" width="22" customWidth="1"/>
    <col min="6" max="6" width="26" customWidth="1"/>
    <col min="7" max="8" width="16" customWidth="1"/>
    <col min="9" max="9" width="15" customWidth="1"/>
    <col min="10" max="10" width="18.90625" customWidth="1"/>
    <col min="11" max="11" width="13.26953125" customWidth="1"/>
    <col min="12" max="12" width="17.54296875" customWidth="1"/>
    <col min="13" max="13" width="14.7265625" customWidth="1"/>
    <col min="14" max="14" width="11.08984375" customWidth="1"/>
    <col min="15" max="15" width="14.453125" customWidth="1"/>
    <col min="16" max="16" width="10" customWidth="1"/>
    <col min="17" max="17" width="14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17</v>
      </c>
    </row>
    <row r="3" spans="1:17" x14ac:dyDescent="0.35">
      <c r="A3" t="s">
        <v>31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23</v>
      </c>
      <c r="I3" t="s">
        <v>32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</row>
    <row r="4" spans="1:17" x14ac:dyDescent="0.35">
      <c r="A4" t="s">
        <v>33</v>
      </c>
      <c r="B4" t="s">
        <v>34</v>
      </c>
      <c r="C4" t="s">
        <v>19</v>
      </c>
      <c r="D4" t="s">
        <v>35</v>
      </c>
      <c r="E4" t="s">
        <v>36</v>
      </c>
      <c r="F4" t="s">
        <v>37</v>
      </c>
      <c r="G4" t="s">
        <v>22</v>
      </c>
      <c r="H4" t="s">
        <v>23</v>
      </c>
      <c r="I4" t="s">
        <v>24</v>
      </c>
      <c r="J4" t="s">
        <v>24</v>
      </c>
      <c r="K4" t="s">
        <v>25</v>
      </c>
      <c r="L4" t="s">
        <v>26</v>
      </c>
      <c r="M4" t="s">
        <v>38</v>
      </c>
      <c r="N4" t="s">
        <v>39</v>
      </c>
      <c r="O4" t="s">
        <v>29</v>
      </c>
      <c r="P4" t="s">
        <v>30</v>
      </c>
      <c r="Q4" t="s">
        <v>33</v>
      </c>
    </row>
    <row r="5" spans="1:17" x14ac:dyDescent="0.35">
      <c r="A5" t="s">
        <v>40</v>
      </c>
      <c r="B5" t="s">
        <v>41</v>
      </c>
      <c r="C5" t="s">
        <v>42</v>
      </c>
      <c r="D5" t="s">
        <v>43</v>
      </c>
      <c r="E5" t="s">
        <v>36</v>
      </c>
      <c r="F5" t="s">
        <v>44</v>
      </c>
      <c r="G5" t="s">
        <v>22</v>
      </c>
      <c r="H5" t="s">
        <v>23</v>
      </c>
      <c r="I5" t="s">
        <v>24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40</v>
      </c>
    </row>
    <row r="6" spans="1:17" x14ac:dyDescent="0.35">
      <c r="A6" t="s">
        <v>45</v>
      </c>
      <c r="B6" t="s">
        <v>46</v>
      </c>
      <c r="C6" t="s">
        <v>42</v>
      </c>
      <c r="D6" t="s">
        <v>43</v>
      </c>
      <c r="E6" t="s">
        <v>36</v>
      </c>
      <c r="F6" t="s">
        <v>47</v>
      </c>
      <c r="G6" t="s">
        <v>22</v>
      </c>
      <c r="H6" t="s">
        <v>23</v>
      </c>
      <c r="I6" t="s">
        <v>24</v>
      </c>
      <c r="J6" t="s">
        <v>24</v>
      </c>
      <c r="K6" t="s">
        <v>48</v>
      </c>
      <c r="L6" t="s">
        <v>49</v>
      </c>
      <c r="M6" t="s">
        <v>38</v>
      </c>
      <c r="N6" t="s">
        <v>39</v>
      </c>
      <c r="O6" t="s">
        <v>29</v>
      </c>
      <c r="P6" t="s">
        <v>30</v>
      </c>
      <c r="Q6" t="s">
        <v>45</v>
      </c>
    </row>
    <row r="7" spans="1:17" x14ac:dyDescent="0.35">
      <c r="A7" t="s">
        <v>50</v>
      </c>
      <c r="B7" t="s">
        <v>51</v>
      </c>
      <c r="C7" t="s">
        <v>19</v>
      </c>
      <c r="D7" t="s">
        <v>52</v>
      </c>
      <c r="E7" t="s">
        <v>21</v>
      </c>
      <c r="F7" t="s">
        <v>53</v>
      </c>
      <c r="G7" t="s">
        <v>54</v>
      </c>
      <c r="H7" t="s">
        <v>55</v>
      </c>
      <c r="I7" t="s">
        <v>24</v>
      </c>
      <c r="J7" t="s">
        <v>56</v>
      </c>
      <c r="K7" t="s">
        <v>25</v>
      </c>
      <c r="L7" t="s">
        <v>26</v>
      </c>
      <c r="M7" t="s">
        <v>27</v>
      </c>
      <c r="N7" t="s">
        <v>39</v>
      </c>
      <c r="O7" t="s">
        <v>29</v>
      </c>
      <c r="P7" t="s">
        <v>30</v>
      </c>
      <c r="Q7" t="s">
        <v>50</v>
      </c>
    </row>
    <row r="8" spans="1:17" x14ac:dyDescent="0.35">
      <c r="A8" t="s">
        <v>57</v>
      </c>
      <c r="B8" t="s">
        <v>58</v>
      </c>
      <c r="C8" t="s">
        <v>19</v>
      </c>
      <c r="D8" t="s">
        <v>59</v>
      </c>
      <c r="E8" t="s">
        <v>21</v>
      </c>
      <c r="F8" t="s">
        <v>60</v>
      </c>
      <c r="G8" t="s">
        <v>61</v>
      </c>
      <c r="H8" t="s">
        <v>62</v>
      </c>
      <c r="I8" t="s">
        <v>24</v>
      </c>
      <c r="J8" t="s">
        <v>63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57</v>
      </c>
    </row>
    <row r="9" spans="1:17" x14ac:dyDescent="0.35">
      <c r="A9" t="s">
        <v>64</v>
      </c>
      <c r="B9" t="s">
        <v>65</v>
      </c>
      <c r="C9" t="s">
        <v>42</v>
      </c>
      <c r="D9" t="s">
        <v>66</v>
      </c>
      <c r="E9" t="s">
        <v>67</v>
      </c>
      <c r="F9" t="s">
        <v>68</v>
      </c>
      <c r="G9" t="s">
        <v>69</v>
      </c>
      <c r="H9" t="s">
        <v>23</v>
      </c>
      <c r="I9" t="s">
        <v>32</v>
      </c>
      <c r="J9" t="s">
        <v>32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64</v>
      </c>
    </row>
    <row r="10" spans="1:17" x14ac:dyDescent="0.35">
      <c r="A10" t="s">
        <v>70</v>
      </c>
      <c r="B10" t="s">
        <v>71</v>
      </c>
      <c r="C10" t="s">
        <v>42</v>
      </c>
      <c r="D10" t="s">
        <v>66</v>
      </c>
      <c r="E10" t="s">
        <v>67</v>
      </c>
      <c r="F10" t="s">
        <v>72</v>
      </c>
      <c r="G10" t="s">
        <v>69</v>
      </c>
      <c r="H10" t="s">
        <v>23</v>
      </c>
      <c r="I10" t="s">
        <v>32</v>
      </c>
      <c r="J10" t="s">
        <v>32</v>
      </c>
      <c r="K10" t="s">
        <v>25</v>
      </c>
      <c r="L10" t="s">
        <v>26</v>
      </c>
      <c r="M10" t="s">
        <v>73</v>
      </c>
      <c r="N10" t="s">
        <v>74</v>
      </c>
      <c r="O10" t="s">
        <v>29</v>
      </c>
      <c r="P10" t="s">
        <v>30</v>
      </c>
      <c r="Q10" t="s">
        <v>70</v>
      </c>
    </row>
    <row r="11" spans="1:17" x14ac:dyDescent="0.3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77</v>
      </c>
      <c r="G11" t="s">
        <v>69</v>
      </c>
      <c r="H11" t="s">
        <v>23</v>
      </c>
      <c r="I11" t="s">
        <v>32</v>
      </c>
      <c r="J11" t="s">
        <v>32</v>
      </c>
      <c r="K11" t="s">
        <v>80</v>
      </c>
      <c r="L11" t="s">
        <v>26</v>
      </c>
      <c r="M11" t="s">
        <v>73</v>
      </c>
      <c r="N11" t="s">
        <v>28</v>
      </c>
      <c r="O11" t="s">
        <v>29</v>
      </c>
      <c r="P11" t="s">
        <v>30</v>
      </c>
      <c r="Q11" t="s">
        <v>75</v>
      </c>
    </row>
    <row r="12" spans="1:17" x14ac:dyDescent="0.35">
      <c r="A12" t="s">
        <v>81</v>
      </c>
      <c r="B12" t="s">
        <v>82</v>
      </c>
      <c r="C12" t="s">
        <v>19</v>
      </c>
      <c r="D12" t="s">
        <v>83</v>
      </c>
      <c r="E12" t="s">
        <v>83</v>
      </c>
      <c r="F12" t="s">
        <v>84</v>
      </c>
      <c r="G12" t="s">
        <v>22</v>
      </c>
      <c r="H12" t="s">
        <v>23</v>
      </c>
      <c r="I12" t="s">
        <v>24</v>
      </c>
      <c r="J12" t="s">
        <v>24</v>
      </c>
      <c r="K12" t="s">
        <v>48</v>
      </c>
      <c r="L12" t="s">
        <v>49</v>
      </c>
      <c r="M12" t="s">
        <v>27</v>
      </c>
      <c r="N12" t="s">
        <v>28</v>
      </c>
      <c r="O12" t="s">
        <v>29</v>
      </c>
      <c r="P12" t="s">
        <v>85</v>
      </c>
      <c r="Q12" t="s">
        <v>81</v>
      </c>
    </row>
    <row r="13" spans="1:17" x14ac:dyDescent="0.35">
      <c r="A13" t="s">
        <v>86</v>
      </c>
      <c r="B13" t="s">
        <v>87</v>
      </c>
      <c r="C13" t="s">
        <v>42</v>
      </c>
      <c r="D13" t="s">
        <v>43</v>
      </c>
      <c r="E13" t="s">
        <v>36</v>
      </c>
      <c r="F13" t="s">
        <v>88</v>
      </c>
      <c r="G13" t="s">
        <v>22</v>
      </c>
      <c r="H13" t="s">
        <v>23</v>
      </c>
      <c r="I13" t="s">
        <v>24</v>
      </c>
      <c r="J13" t="s">
        <v>24</v>
      </c>
      <c r="K13" t="s">
        <v>48</v>
      </c>
      <c r="L13" t="s">
        <v>49</v>
      </c>
      <c r="M13" t="s">
        <v>38</v>
      </c>
      <c r="N13" t="s">
        <v>39</v>
      </c>
      <c r="O13" t="s">
        <v>29</v>
      </c>
      <c r="P13" t="s">
        <v>85</v>
      </c>
      <c r="Q13" t="s">
        <v>86</v>
      </c>
    </row>
    <row r="14" spans="1:17" x14ac:dyDescent="0.35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92</v>
      </c>
      <c r="G14" t="s">
        <v>69</v>
      </c>
      <c r="H14" t="s">
        <v>23</v>
      </c>
      <c r="I14" t="s">
        <v>32</v>
      </c>
      <c r="J14" t="s">
        <v>32</v>
      </c>
      <c r="K14" t="s">
        <v>94</v>
      </c>
      <c r="L14" t="s">
        <v>26</v>
      </c>
      <c r="M14" t="s">
        <v>73</v>
      </c>
      <c r="N14" t="s">
        <v>74</v>
      </c>
      <c r="O14" t="s">
        <v>29</v>
      </c>
      <c r="P14" t="s">
        <v>30</v>
      </c>
      <c r="Q14" t="s">
        <v>89</v>
      </c>
    </row>
    <row r="15" spans="1:17" x14ac:dyDescent="0.35">
      <c r="A15" t="s">
        <v>95</v>
      </c>
      <c r="B15" t="s">
        <v>96</v>
      </c>
      <c r="C15" t="s">
        <v>97</v>
      </c>
      <c r="D15" t="s">
        <v>98</v>
      </c>
      <c r="E15" t="s">
        <v>93</v>
      </c>
      <c r="F15" t="s">
        <v>99</v>
      </c>
      <c r="G15" t="s">
        <v>69</v>
      </c>
      <c r="H15" t="s">
        <v>23</v>
      </c>
      <c r="I15" t="s">
        <v>32</v>
      </c>
      <c r="J15" t="s">
        <v>32</v>
      </c>
      <c r="K15" t="s">
        <v>94</v>
      </c>
      <c r="L15" t="s">
        <v>26</v>
      </c>
      <c r="M15" t="s">
        <v>73</v>
      </c>
      <c r="N15" t="s">
        <v>74</v>
      </c>
      <c r="O15" t="s">
        <v>29</v>
      </c>
      <c r="P15" t="s">
        <v>30</v>
      </c>
      <c r="Q15" t="s">
        <v>95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>
      <selection sqref="A1:C12"/>
    </sheetView>
  </sheetViews>
  <sheetFormatPr defaultColWidth="8.6328125" defaultRowHeight="14.5" x14ac:dyDescent="0.35"/>
  <cols>
    <col min="1" max="1" width="14" customWidth="1"/>
    <col min="2" max="2" width="15.1796875" customWidth="1"/>
    <col min="3" max="3" width="13" customWidth="1"/>
  </cols>
  <sheetData>
    <row r="1" spans="1:3" x14ac:dyDescent="0.35">
      <c r="A1" s="1" t="s">
        <v>100</v>
      </c>
      <c r="B1" s="1" t="s">
        <v>101</v>
      </c>
      <c r="C1" s="1" t="s">
        <v>102</v>
      </c>
    </row>
    <row r="2" spans="1:3" x14ac:dyDescent="0.35">
      <c r="A2" s="2">
        <v>45657</v>
      </c>
      <c r="B2" t="s">
        <v>24</v>
      </c>
      <c r="C2">
        <v>20.149999999999999</v>
      </c>
    </row>
    <row r="3" spans="1:3" x14ac:dyDescent="0.35">
      <c r="A3" s="2">
        <v>45747</v>
      </c>
      <c r="B3" t="s">
        <v>24</v>
      </c>
      <c r="C3">
        <v>20.420000000000002</v>
      </c>
    </row>
    <row r="4" spans="1:3" x14ac:dyDescent="0.35">
      <c r="A4" s="2">
        <v>45838</v>
      </c>
      <c r="B4" t="s">
        <v>24</v>
      </c>
      <c r="C4">
        <v>19.87</v>
      </c>
    </row>
    <row r="5" spans="1:3" x14ac:dyDescent="0.35">
      <c r="A5" s="2">
        <v>45930</v>
      </c>
      <c r="B5" t="s">
        <v>24</v>
      </c>
      <c r="C5">
        <v>17.52</v>
      </c>
    </row>
    <row r="6" spans="1:3" x14ac:dyDescent="0.35">
      <c r="A6" s="2">
        <v>46022</v>
      </c>
      <c r="B6" t="s">
        <v>24</v>
      </c>
      <c r="C6">
        <v>17.18</v>
      </c>
    </row>
    <row r="7" spans="1:3" x14ac:dyDescent="0.35">
      <c r="A7" s="2">
        <v>46112</v>
      </c>
      <c r="B7" t="s">
        <v>24</v>
      </c>
      <c r="C7">
        <v>17.350000000000001</v>
      </c>
    </row>
    <row r="8" spans="1:3" x14ac:dyDescent="0.35">
      <c r="A8" s="2">
        <v>46203</v>
      </c>
      <c r="B8" t="s">
        <v>24</v>
      </c>
      <c r="C8">
        <v>17.48</v>
      </c>
    </row>
    <row r="9" spans="1:3" x14ac:dyDescent="0.35">
      <c r="A9" s="2">
        <v>45657</v>
      </c>
      <c r="B9" t="s">
        <v>63</v>
      </c>
      <c r="C9">
        <v>21.8</v>
      </c>
    </row>
    <row r="10" spans="1:3" x14ac:dyDescent="0.35">
      <c r="A10" s="2">
        <v>45838</v>
      </c>
      <c r="B10" t="s">
        <v>63</v>
      </c>
      <c r="C10">
        <v>22.1</v>
      </c>
    </row>
    <row r="11" spans="1:3" x14ac:dyDescent="0.35">
      <c r="A11" s="2">
        <v>46022</v>
      </c>
      <c r="B11" t="s">
        <v>63</v>
      </c>
      <c r="C11">
        <v>20.95</v>
      </c>
    </row>
    <row r="12" spans="1:3" x14ac:dyDescent="0.35">
      <c r="A12" s="2">
        <v>46203</v>
      </c>
      <c r="B12" t="s">
        <v>63</v>
      </c>
      <c r="C12">
        <v>19.850000000000001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"/>
  <sheetViews>
    <sheetView zoomScaleNormal="100" workbookViewId="0">
      <selection sqref="A1:X15"/>
    </sheetView>
  </sheetViews>
  <sheetFormatPr defaultColWidth="8.6328125" defaultRowHeight="14.5" x14ac:dyDescent="0.35"/>
  <cols>
    <col min="1" max="1" width="20" customWidth="1"/>
    <col min="2" max="2" width="22" customWidth="1"/>
    <col min="3" max="3" width="17" customWidth="1"/>
    <col min="4" max="4" width="10" customWidth="1"/>
    <col min="5" max="5" width="24" customWidth="1"/>
    <col min="6" max="6" width="10" customWidth="1"/>
    <col min="7" max="7" width="8.7265625" customWidth="1"/>
    <col min="8" max="8" width="17.36328125" customWidth="1"/>
    <col min="9" max="9" width="10.1796875" customWidth="1"/>
    <col min="10" max="10" width="19.1796875" customWidth="1"/>
    <col min="11" max="11" width="21" customWidth="1"/>
    <col min="12" max="12" width="16.7265625" customWidth="1"/>
    <col min="13" max="13" width="20.36328125" customWidth="1"/>
    <col min="14" max="14" width="19" customWidth="1"/>
    <col min="15" max="15" width="13.6328125" customWidth="1"/>
    <col min="16" max="16" width="18" customWidth="1"/>
    <col min="17" max="17" width="19.7265625" customWidth="1"/>
    <col min="18" max="18" width="18.36328125" customWidth="1"/>
    <col min="19" max="19" width="13" customWidth="1"/>
    <col min="20" max="20" width="17.36328125" customWidth="1"/>
    <col min="21" max="21" width="13.90625" customWidth="1"/>
    <col min="22" max="22" width="10" customWidth="1"/>
    <col min="23" max="23" width="16" customWidth="1"/>
    <col min="24" max="24" width="14" customWidth="1"/>
  </cols>
  <sheetData>
    <row r="1" spans="1:24" x14ac:dyDescent="0.35">
      <c r="A1" s="1" t="s">
        <v>103</v>
      </c>
      <c r="B1" s="1" t="s">
        <v>104</v>
      </c>
      <c r="C1" s="1" t="s">
        <v>105</v>
      </c>
      <c r="D1" s="1" t="s">
        <v>0</v>
      </c>
      <c r="E1" s="1" t="s">
        <v>1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15</v>
      </c>
      <c r="W1" s="1" t="s">
        <v>122</v>
      </c>
      <c r="X1" s="1" t="s">
        <v>16</v>
      </c>
    </row>
    <row r="2" spans="1:24" x14ac:dyDescent="0.35">
      <c r="A2" t="s">
        <v>123</v>
      </c>
      <c r="B2" t="s">
        <v>124</v>
      </c>
      <c r="C2" s="2">
        <v>45366</v>
      </c>
      <c r="D2" t="s">
        <v>125</v>
      </c>
      <c r="E2" t="s">
        <v>18</v>
      </c>
      <c r="F2" t="s">
        <v>126</v>
      </c>
      <c r="G2" t="s">
        <v>127</v>
      </c>
      <c r="H2" t="s">
        <v>128</v>
      </c>
      <c r="I2">
        <v>3</v>
      </c>
      <c r="J2">
        <v>480.5</v>
      </c>
      <c r="K2" t="s">
        <v>24</v>
      </c>
      <c r="L2">
        <v>20.149999999999999</v>
      </c>
      <c r="M2">
        <v>1441.5</v>
      </c>
      <c r="N2">
        <v>3.6</v>
      </c>
      <c r="O2">
        <v>0</v>
      </c>
      <c r="P2">
        <v>1445.1</v>
      </c>
      <c r="Q2">
        <v>29044.25</v>
      </c>
      <c r="R2">
        <v>72.61</v>
      </c>
      <c r="S2">
        <v>0</v>
      </c>
      <c r="T2">
        <v>29116.86</v>
      </c>
      <c r="U2" t="s">
        <v>129</v>
      </c>
      <c r="V2" t="s">
        <v>30</v>
      </c>
      <c r="X2" t="s">
        <v>17</v>
      </c>
    </row>
    <row r="3" spans="1:24" x14ac:dyDescent="0.35">
      <c r="A3" t="s">
        <v>130</v>
      </c>
      <c r="B3" t="s">
        <v>131</v>
      </c>
      <c r="C3" s="2">
        <v>45463</v>
      </c>
      <c r="D3" t="s">
        <v>125</v>
      </c>
      <c r="E3" t="s">
        <v>18</v>
      </c>
      <c r="F3" t="s">
        <v>126</v>
      </c>
      <c r="G3" t="s">
        <v>132</v>
      </c>
      <c r="H3" t="s">
        <v>128</v>
      </c>
      <c r="I3">
        <v>10</v>
      </c>
      <c r="J3">
        <v>9850</v>
      </c>
      <c r="K3" t="s">
        <v>32</v>
      </c>
      <c r="L3">
        <v>1</v>
      </c>
      <c r="M3">
        <v>98500</v>
      </c>
      <c r="N3">
        <v>246.25</v>
      </c>
      <c r="O3">
        <v>0</v>
      </c>
      <c r="P3">
        <v>98746.25</v>
      </c>
      <c r="Q3">
        <v>98500</v>
      </c>
      <c r="R3">
        <v>246.25</v>
      </c>
      <c r="S3">
        <v>0</v>
      </c>
      <c r="T3">
        <v>98746.25</v>
      </c>
      <c r="U3" t="s">
        <v>129</v>
      </c>
      <c r="V3" t="s">
        <v>30</v>
      </c>
      <c r="X3" t="s">
        <v>31</v>
      </c>
    </row>
    <row r="4" spans="1:24" x14ac:dyDescent="0.35">
      <c r="A4" t="s">
        <v>133</v>
      </c>
      <c r="B4" t="s">
        <v>134</v>
      </c>
      <c r="C4" s="2">
        <v>45505</v>
      </c>
      <c r="D4" t="s">
        <v>135</v>
      </c>
      <c r="E4" t="s">
        <v>34</v>
      </c>
      <c r="F4" t="s">
        <v>126</v>
      </c>
      <c r="G4" t="s">
        <v>127</v>
      </c>
      <c r="H4" t="s">
        <v>128</v>
      </c>
      <c r="I4">
        <v>2</v>
      </c>
      <c r="J4">
        <v>470.2</v>
      </c>
      <c r="K4" t="s">
        <v>24</v>
      </c>
      <c r="L4">
        <v>19.87</v>
      </c>
      <c r="M4">
        <v>940.4</v>
      </c>
      <c r="N4">
        <v>2.35</v>
      </c>
      <c r="O4">
        <v>0</v>
      </c>
      <c r="P4">
        <v>942.75</v>
      </c>
      <c r="Q4">
        <v>18685.8</v>
      </c>
      <c r="R4">
        <v>46.71</v>
      </c>
      <c r="S4">
        <v>0</v>
      </c>
      <c r="T4">
        <v>18732.509999999998</v>
      </c>
      <c r="U4" t="s">
        <v>129</v>
      </c>
      <c r="V4" t="s">
        <v>30</v>
      </c>
      <c r="X4" t="s">
        <v>33</v>
      </c>
    </row>
    <row r="5" spans="1:24" x14ac:dyDescent="0.35">
      <c r="A5" t="s">
        <v>136</v>
      </c>
      <c r="B5" t="s">
        <v>137</v>
      </c>
      <c r="C5" s="2">
        <v>45575</v>
      </c>
      <c r="D5" t="s">
        <v>138</v>
      </c>
      <c r="E5" t="s">
        <v>41</v>
      </c>
      <c r="F5" t="s">
        <v>126</v>
      </c>
      <c r="G5" t="s">
        <v>127</v>
      </c>
      <c r="H5" t="s">
        <v>128</v>
      </c>
      <c r="I5">
        <v>3</v>
      </c>
      <c r="J5">
        <v>415.3</v>
      </c>
      <c r="K5" t="s">
        <v>24</v>
      </c>
      <c r="L5">
        <v>20</v>
      </c>
      <c r="M5">
        <v>1245.9000000000001</v>
      </c>
      <c r="N5">
        <v>3.11</v>
      </c>
      <c r="O5">
        <v>0</v>
      </c>
      <c r="P5">
        <v>1249.01</v>
      </c>
      <c r="Q5">
        <v>24918</v>
      </c>
      <c r="R5">
        <v>62.25</v>
      </c>
      <c r="S5">
        <v>0</v>
      </c>
      <c r="T5">
        <v>24980.25</v>
      </c>
      <c r="U5" t="s">
        <v>129</v>
      </c>
      <c r="V5" t="s">
        <v>30</v>
      </c>
      <c r="X5" t="s">
        <v>40</v>
      </c>
    </row>
    <row r="6" spans="1:24" x14ac:dyDescent="0.35">
      <c r="A6" t="s">
        <v>139</v>
      </c>
      <c r="B6" t="s">
        <v>140</v>
      </c>
      <c r="C6" s="2">
        <v>45672</v>
      </c>
      <c r="D6" t="s">
        <v>141</v>
      </c>
      <c r="E6" t="s">
        <v>46</v>
      </c>
      <c r="F6" t="s">
        <v>126</v>
      </c>
      <c r="G6" t="s">
        <v>127</v>
      </c>
      <c r="H6" t="s">
        <v>128</v>
      </c>
      <c r="I6">
        <v>2</v>
      </c>
      <c r="J6">
        <v>215.5</v>
      </c>
      <c r="K6" t="s">
        <v>24</v>
      </c>
      <c r="L6">
        <v>20.420000000000002</v>
      </c>
      <c r="M6">
        <v>431</v>
      </c>
      <c r="N6">
        <v>1.08</v>
      </c>
      <c r="O6">
        <v>0</v>
      </c>
      <c r="P6">
        <v>432.08</v>
      </c>
      <c r="Q6">
        <v>8801.6200000000008</v>
      </c>
      <c r="R6">
        <v>22.06</v>
      </c>
      <c r="S6">
        <v>0</v>
      </c>
      <c r="T6">
        <v>8823.68</v>
      </c>
      <c r="U6" t="s">
        <v>129</v>
      </c>
      <c r="V6" t="s">
        <v>30</v>
      </c>
      <c r="X6" t="s">
        <v>45</v>
      </c>
    </row>
    <row r="7" spans="1:24" x14ac:dyDescent="0.35">
      <c r="A7" t="s">
        <v>142</v>
      </c>
      <c r="B7" t="s">
        <v>143</v>
      </c>
      <c r="C7" s="2">
        <v>45717</v>
      </c>
      <c r="D7" t="s">
        <v>144</v>
      </c>
      <c r="E7" t="s">
        <v>51</v>
      </c>
      <c r="F7" t="s">
        <v>126</v>
      </c>
      <c r="G7" t="s">
        <v>127</v>
      </c>
      <c r="H7" t="s">
        <v>128</v>
      </c>
      <c r="I7">
        <v>5</v>
      </c>
      <c r="J7">
        <v>32.4</v>
      </c>
      <c r="K7" t="s">
        <v>24</v>
      </c>
      <c r="L7">
        <v>20.420000000000002</v>
      </c>
      <c r="M7">
        <v>162</v>
      </c>
      <c r="N7">
        <v>0.41</v>
      </c>
      <c r="O7">
        <v>0</v>
      </c>
      <c r="P7">
        <v>162.41</v>
      </c>
      <c r="Q7">
        <v>3309.24</v>
      </c>
      <c r="R7">
        <v>8.2799999999999994</v>
      </c>
      <c r="S7">
        <v>0</v>
      </c>
      <c r="T7">
        <v>3317.52</v>
      </c>
      <c r="U7" t="s">
        <v>129</v>
      </c>
      <c r="V7" t="s">
        <v>30</v>
      </c>
      <c r="X7" t="s">
        <v>50</v>
      </c>
    </row>
    <row r="8" spans="1:24" x14ac:dyDescent="0.35">
      <c r="A8" t="s">
        <v>145</v>
      </c>
      <c r="B8" t="s">
        <v>146</v>
      </c>
      <c r="C8" s="2">
        <v>45762</v>
      </c>
      <c r="D8" t="s">
        <v>147</v>
      </c>
      <c r="E8" t="s">
        <v>58</v>
      </c>
      <c r="F8" t="s">
        <v>126</v>
      </c>
      <c r="G8" t="s">
        <v>127</v>
      </c>
      <c r="H8" t="s">
        <v>128</v>
      </c>
      <c r="I8">
        <v>5</v>
      </c>
      <c r="J8">
        <v>38.200000000000003</v>
      </c>
      <c r="K8" t="s">
        <v>24</v>
      </c>
      <c r="L8">
        <v>19.87</v>
      </c>
      <c r="M8">
        <v>191</v>
      </c>
      <c r="N8">
        <v>0.48</v>
      </c>
      <c r="O8">
        <v>0</v>
      </c>
      <c r="P8">
        <v>191.48</v>
      </c>
      <c r="Q8">
        <v>3795.17</v>
      </c>
      <c r="R8">
        <v>9.49</v>
      </c>
      <c r="S8">
        <v>0</v>
      </c>
      <c r="T8">
        <v>3804.66</v>
      </c>
      <c r="U8" t="s">
        <v>129</v>
      </c>
      <c r="V8" t="s">
        <v>30</v>
      </c>
      <c r="X8" t="s">
        <v>57</v>
      </c>
    </row>
    <row r="9" spans="1:24" x14ac:dyDescent="0.35">
      <c r="A9" t="s">
        <v>148</v>
      </c>
      <c r="B9" t="s">
        <v>149</v>
      </c>
      <c r="C9" s="2">
        <v>45809</v>
      </c>
      <c r="D9" t="s">
        <v>150</v>
      </c>
      <c r="E9" t="s">
        <v>65</v>
      </c>
      <c r="F9" t="s">
        <v>126</v>
      </c>
      <c r="G9" t="s">
        <v>132</v>
      </c>
      <c r="H9" t="s">
        <v>128</v>
      </c>
      <c r="I9">
        <v>200</v>
      </c>
      <c r="J9">
        <v>68.5</v>
      </c>
      <c r="K9" t="s">
        <v>32</v>
      </c>
      <c r="L9">
        <v>1</v>
      </c>
      <c r="M9">
        <v>13700</v>
      </c>
      <c r="N9">
        <v>34.25</v>
      </c>
      <c r="O9">
        <v>54.8</v>
      </c>
      <c r="P9">
        <v>13789.05</v>
      </c>
      <c r="Q9">
        <v>13700</v>
      </c>
      <c r="R9">
        <v>34.25</v>
      </c>
      <c r="S9">
        <v>54.8</v>
      </c>
      <c r="T9">
        <v>13789.05</v>
      </c>
      <c r="U9" t="s">
        <v>129</v>
      </c>
      <c r="V9" t="s">
        <v>30</v>
      </c>
      <c r="X9" t="s">
        <v>64</v>
      </c>
    </row>
    <row r="10" spans="1:24" x14ac:dyDescent="0.35">
      <c r="A10" t="s">
        <v>151</v>
      </c>
      <c r="B10" t="s">
        <v>152</v>
      </c>
      <c r="C10" s="2">
        <v>45870</v>
      </c>
      <c r="D10" t="s">
        <v>153</v>
      </c>
      <c r="E10" t="s">
        <v>71</v>
      </c>
      <c r="F10" t="s">
        <v>126</v>
      </c>
      <c r="G10" t="s">
        <v>132</v>
      </c>
      <c r="H10" t="s">
        <v>128</v>
      </c>
      <c r="I10">
        <v>100</v>
      </c>
      <c r="J10">
        <v>142.30000000000001</v>
      </c>
      <c r="K10" t="s">
        <v>32</v>
      </c>
      <c r="L10">
        <v>1</v>
      </c>
      <c r="M10">
        <v>14230</v>
      </c>
      <c r="N10">
        <v>35.58</v>
      </c>
      <c r="O10">
        <v>56.92</v>
      </c>
      <c r="P10">
        <v>14322.5</v>
      </c>
      <c r="Q10">
        <v>14230</v>
      </c>
      <c r="R10">
        <v>35.58</v>
      </c>
      <c r="S10">
        <v>56.92</v>
      </c>
      <c r="T10">
        <v>14322.5</v>
      </c>
      <c r="U10" t="s">
        <v>129</v>
      </c>
      <c r="V10" t="s">
        <v>30</v>
      </c>
      <c r="X10" t="s">
        <v>70</v>
      </c>
    </row>
    <row r="11" spans="1:24" x14ac:dyDescent="0.35">
      <c r="A11" t="s">
        <v>154</v>
      </c>
      <c r="B11" t="s">
        <v>155</v>
      </c>
      <c r="C11" s="2">
        <v>45931</v>
      </c>
      <c r="D11" t="s">
        <v>156</v>
      </c>
      <c r="E11" t="s">
        <v>76</v>
      </c>
      <c r="F11" t="s">
        <v>126</v>
      </c>
      <c r="G11" t="s">
        <v>132</v>
      </c>
      <c r="H11" t="s">
        <v>128</v>
      </c>
      <c r="I11">
        <v>300</v>
      </c>
      <c r="J11">
        <v>28.4</v>
      </c>
      <c r="K11" t="s">
        <v>32</v>
      </c>
      <c r="L11">
        <v>1</v>
      </c>
      <c r="M11">
        <v>8520</v>
      </c>
      <c r="N11">
        <v>21.3</v>
      </c>
      <c r="O11">
        <v>0</v>
      </c>
      <c r="P11">
        <v>8541.2999999999993</v>
      </c>
      <c r="Q11">
        <v>8520</v>
      </c>
      <c r="R11">
        <v>21.3</v>
      </c>
      <c r="S11">
        <v>0</v>
      </c>
      <c r="T11">
        <v>8541.2999999999993</v>
      </c>
      <c r="U11" t="s">
        <v>129</v>
      </c>
      <c r="V11" t="s">
        <v>30</v>
      </c>
      <c r="X11" t="s">
        <v>75</v>
      </c>
    </row>
    <row r="12" spans="1:24" x14ac:dyDescent="0.35">
      <c r="A12" t="s">
        <v>157</v>
      </c>
      <c r="B12" t="s">
        <v>158</v>
      </c>
      <c r="C12" s="2">
        <v>45078</v>
      </c>
      <c r="D12" t="s">
        <v>159</v>
      </c>
      <c r="E12" t="s">
        <v>82</v>
      </c>
      <c r="F12" t="s">
        <v>126</v>
      </c>
      <c r="G12" t="s">
        <v>127</v>
      </c>
      <c r="H12" t="s">
        <v>128</v>
      </c>
      <c r="I12">
        <v>5</v>
      </c>
      <c r="J12">
        <v>182.5</v>
      </c>
      <c r="K12" t="s">
        <v>24</v>
      </c>
      <c r="L12">
        <v>17.52</v>
      </c>
      <c r="M12">
        <v>912.5</v>
      </c>
      <c r="N12">
        <v>2.2799999999999998</v>
      </c>
      <c r="O12">
        <v>0</v>
      </c>
      <c r="P12">
        <v>914.78</v>
      </c>
      <c r="Q12">
        <v>15989.54</v>
      </c>
      <c r="R12">
        <v>39.979999999999997</v>
      </c>
      <c r="S12">
        <v>0</v>
      </c>
      <c r="T12">
        <v>16029.52</v>
      </c>
      <c r="U12" t="s">
        <v>129</v>
      </c>
      <c r="V12" t="s">
        <v>85</v>
      </c>
      <c r="X12" t="s">
        <v>81</v>
      </c>
    </row>
    <row r="13" spans="1:24" x14ac:dyDescent="0.35">
      <c r="A13" t="s">
        <v>160</v>
      </c>
      <c r="B13" t="s">
        <v>161</v>
      </c>
      <c r="C13" s="2">
        <v>45261</v>
      </c>
      <c r="D13" t="s">
        <v>159</v>
      </c>
      <c r="E13" t="s">
        <v>82</v>
      </c>
      <c r="F13" t="s">
        <v>126</v>
      </c>
      <c r="G13" t="s">
        <v>127</v>
      </c>
      <c r="H13" t="s">
        <v>162</v>
      </c>
      <c r="I13">
        <v>5</v>
      </c>
      <c r="J13">
        <v>201.3</v>
      </c>
      <c r="K13" t="s">
        <v>24</v>
      </c>
      <c r="L13">
        <v>17.18</v>
      </c>
      <c r="M13">
        <v>1006.5</v>
      </c>
      <c r="N13">
        <v>2.52</v>
      </c>
      <c r="O13">
        <v>0</v>
      </c>
      <c r="P13">
        <v>1003.98</v>
      </c>
      <c r="Q13">
        <v>17288.41</v>
      </c>
      <c r="R13">
        <v>43.27</v>
      </c>
      <c r="S13">
        <v>0</v>
      </c>
      <c r="T13">
        <v>17245.14</v>
      </c>
      <c r="U13" t="s">
        <v>129</v>
      </c>
      <c r="V13" t="s">
        <v>85</v>
      </c>
      <c r="X13" t="s">
        <v>81</v>
      </c>
    </row>
    <row r="14" spans="1:24" x14ac:dyDescent="0.35">
      <c r="A14" t="s">
        <v>163</v>
      </c>
      <c r="B14" t="s">
        <v>164</v>
      </c>
      <c r="C14" s="2">
        <v>44986</v>
      </c>
      <c r="D14" t="s">
        <v>165</v>
      </c>
      <c r="E14" t="s">
        <v>87</v>
      </c>
      <c r="F14" t="s">
        <v>126</v>
      </c>
      <c r="G14" t="s">
        <v>127</v>
      </c>
      <c r="H14" t="s">
        <v>128</v>
      </c>
      <c r="I14">
        <v>3</v>
      </c>
      <c r="J14">
        <v>185.2</v>
      </c>
      <c r="K14" t="s">
        <v>24</v>
      </c>
      <c r="L14">
        <v>18.100000000000001</v>
      </c>
      <c r="M14">
        <v>555.6</v>
      </c>
      <c r="N14">
        <v>1.39</v>
      </c>
      <c r="O14">
        <v>0</v>
      </c>
      <c r="P14">
        <v>556.99</v>
      </c>
      <c r="Q14">
        <v>10062.36</v>
      </c>
      <c r="R14">
        <v>25.17</v>
      </c>
      <c r="S14">
        <v>0</v>
      </c>
      <c r="T14">
        <v>10087.530000000001</v>
      </c>
      <c r="U14" t="s">
        <v>129</v>
      </c>
      <c r="V14" t="s">
        <v>85</v>
      </c>
      <c r="X14" t="s">
        <v>86</v>
      </c>
    </row>
    <row r="15" spans="1:24" x14ac:dyDescent="0.35">
      <c r="A15" t="s">
        <v>166</v>
      </c>
      <c r="B15" t="s">
        <v>167</v>
      </c>
      <c r="C15" s="2">
        <v>45200</v>
      </c>
      <c r="D15" t="s">
        <v>165</v>
      </c>
      <c r="E15" t="s">
        <v>87</v>
      </c>
      <c r="F15" t="s">
        <v>126</v>
      </c>
      <c r="G15" t="s">
        <v>127</v>
      </c>
      <c r="H15" t="s">
        <v>162</v>
      </c>
      <c r="I15">
        <v>3</v>
      </c>
      <c r="J15">
        <v>248.5</v>
      </c>
      <c r="K15" t="s">
        <v>24</v>
      </c>
      <c r="L15">
        <v>17.350000000000001</v>
      </c>
      <c r="M15">
        <v>745.5</v>
      </c>
      <c r="N15">
        <v>1.86</v>
      </c>
      <c r="O15">
        <v>0</v>
      </c>
      <c r="P15">
        <v>743.64</v>
      </c>
      <c r="Q15">
        <v>12924.23</v>
      </c>
      <c r="R15">
        <v>32.31</v>
      </c>
      <c r="S15">
        <v>0</v>
      </c>
      <c r="T15">
        <v>12891.92</v>
      </c>
      <c r="U15" t="s">
        <v>129</v>
      </c>
      <c r="V15" t="s">
        <v>85</v>
      </c>
      <c r="X15" t="s">
        <v>86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zoomScaleNormal="100" workbookViewId="0">
      <selection sqref="A1:K11"/>
    </sheetView>
  </sheetViews>
  <sheetFormatPr defaultColWidth="8.6328125" defaultRowHeight="14.5" x14ac:dyDescent="0.35"/>
  <cols>
    <col min="1" max="1" width="14" customWidth="1"/>
    <col min="2" max="2" width="10" customWidth="1"/>
    <col min="3" max="3" width="24" customWidth="1"/>
    <col min="4" max="4" width="8.7265625" customWidth="1"/>
    <col min="5" max="5" width="15.08984375" customWidth="1"/>
    <col min="6" max="6" width="13.453125" customWidth="1"/>
    <col min="7" max="7" width="16.7265625" customWidth="1"/>
    <col min="8" max="8" width="14" customWidth="1"/>
    <col min="9" max="9" width="19.36328125" customWidth="1"/>
    <col min="10" max="10" width="18.7265625" customWidth="1"/>
    <col min="11" max="11" width="10" customWidth="1"/>
  </cols>
  <sheetData>
    <row r="1" spans="1:11" x14ac:dyDescent="0.35">
      <c r="A1" s="1" t="s">
        <v>16</v>
      </c>
      <c r="B1" s="1" t="s">
        <v>0</v>
      </c>
      <c r="C1" s="1" t="s">
        <v>1</v>
      </c>
      <c r="D1" s="1" t="s">
        <v>107</v>
      </c>
      <c r="E1" s="1" t="s">
        <v>168</v>
      </c>
      <c r="F1" s="1" t="s">
        <v>169</v>
      </c>
      <c r="G1" s="1" t="s">
        <v>112</v>
      </c>
      <c r="H1" s="1" t="s">
        <v>170</v>
      </c>
      <c r="I1" s="1" t="s">
        <v>171</v>
      </c>
      <c r="J1" s="1" t="s">
        <v>172</v>
      </c>
      <c r="K1" s="1" t="s">
        <v>15</v>
      </c>
    </row>
    <row r="2" spans="1:11" x14ac:dyDescent="0.35">
      <c r="A2" t="s">
        <v>17</v>
      </c>
      <c r="B2" t="s">
        <v>125</v>
      </c>
      <c r="C2" t="s">
        <v>18</v>
      </c>
      <c r="D2" t="s">
        <v>127</v>
      </c>
      <c r="E2" t="s">
        <v>24</v>
      </c>
      <c r="F2">
        <f>17.48</f>
        <v>17.48</v>
      </c>
      <c r="G2">
        <v>17.48</v>
      </c>
      <c r="H2" s="2">
        <v>46218</v>
      </c>
      <c r="I2">
        <v>558.20000000000005</v>
      </c>
      <c r="J2">
        <v>9757.34</v>
      </c>
      <c r="K2" t="s">
        <v>30</v>
      </c>
    </row>
    <row r="3" spans="1:11" x14ac:dyDescent="0.35">
      <c r="A3" t="s">
        <v>31</v>
      </c>
      <c r="B3" t="s">
        <v>125</v>
      </c>
      <c r="C3" t="s">
        <v>18</v>
      </c>
      <c r="D3" t="s">
        <v>132</v>
      </c>
      <c r="E3" t="s">
        <v>32</v>
      </c>
      <c r="F3">
        <f>1</f>
        <v>1</v>
      </c>
      <c r="G3">
        <v>1</v>
      </c>
      <c r="H3" s="2">
        <v>46218</v>
      </c>
      <c r="I3">
        <v>9848.5</v>
      </c>
      <c r="J3">
        <v>9848.5</v>
      </c>
      <c r="K3" t="s">
        <v>30</v>
      </c>
    </row>
    <row r="4" spans="1:11" x14ac:dyDescent="0.35">
      <c r="A4" t="s">
        <v>33</v>
      </c>
      <c r="B4" t="s">
        <v>135</v>
      </c>
      <c r="C4" t="s">
        <v>34</v>
      </c>
      <c r="D4" t="s">
        <v>127</v>
      </c>
      <c r="E4" t="s">
        <v>24</v>
      </c>
      <c r="F4">
        <f>17.48</f>
        <v>17.48</v>
      </c>
      <c r="G4">
        <v>17.48</v>
      </c>
      <c r="H4" s="2">
        <v>46218</v>
      </c>
      <c r="I4">
        <v>492.3</v>
      </c>
      <c r="J4">
        <v>8605.4</v>
      </c>
      <c r="K4" t="s">
        <v>30</v>
      </c>
    </row>
    <row r="5" spans="1:11" x14ac:dyDescent="0.35">
      <c r="A5" t="s">
        <v>40</v>
      </c>
      <c r="B5" t="s">
        <v>138</v>
      </c>
      <c r="C5" t="s">
        <v>41</v>
      </c>
      <c r="D5" t="s">
        <v>127</v>
      </c>
      <c r="E5" t="s">
        <v>24</v>
      </c>
      <c r="F5">
        <f>17.48</f>
        <v>17.48</v>
      </c>
      <c r="G5">
        <v>17.48</v>
      </c>
      <c r="H5" s="2">
        <v>46218</v>
      </c>
      <c r="I5">
        <v>385.4</v>
      </c>
      <c r="J5">
        <v>6737.79</v>
      </c>
      <c r="K5" t="s">
        <v>30</v>
      </c>
    </row>
    <row r="6" spans="1:11" x14ac:dyDescent="0.35">
      <c r="A6" t="s">
        <v>45</v>
      </c>
      <c r="B6" t="s">
        <v>141</v>
      </c>
      <c r="C6" t="s">
        <v>46</v>
      </c>
      <c r="D6" t="s">
        <v>127</v>
      </c>
      <c r="E6" t="s">
        <v>24</v>
      </c>
      <c r="F6">
        <f>17.48</f>
        <v>17.48</v>
      </c>
      <c r="G6">
        <v>17.48</v>
      </c>
      <c r="H6" s="2">
        <v>46218</v>
      </c>
      <c r="I6">
        <v>198.7</v>
      </c>
      <c r="J6">
        <v>3471.48</v>
      </c>
      <c r="K6" t="s">
        <v>30</v>
      </c>
    </row>
    <row r="7" spans="1:11" x14ac:dyDescent="0.35">
      <c r="A7" t="s">
        <v>50</v>
      </c>
      <c r="B7" t="s">
        <v>144</v>
      </c>
      <c r="C7" t="s">
        <v>51</v>
      </c>
      <c r="D7" t="s">
        <v>127</v>
      </c>
      <c r="E7" t="s">
        <v>24</v>
      </c>
      <c r="F7">
        <f>17.48</f>
        <v>17.48</v>
      </c>
      <c r="G7">
        <v>17.48</v>
      </c>
      <c r="H7" s="2">
        <v>46218</v>
      </c>
      <c r="I7">
        <v>28.9</v>
      </c>
      <c r="J7">
        <v>505.17</v>
      </c>
      <c r="K7" t="s">
        <v>30</v>
      </c>
    </row>
    <row r="8" spans="1:11" x14ac:dyDescent="0.35">
      <c r="A8" t="s">
        <v>57</v>
      </c>
      <c r="B8" t="s">
        <v>147</v>
      </c>
      <c r="C8" t="s">
        <v>58</v>
      </c>
      <c r="D8" t="s">
        <v>127</v>
      </c>
      <c r="E8" t="s">
        <v>24</v>
      </c>
      <c r="F8">
        <f>17.48</f>
        <v>17.48</v>
      </c>
      <c r="G8">
        <v>17.48</v>
      </c>
      <c r="H8" s="2">
        <v>46218</v>
      </c>
      <c r="I8">
        <v>41.5</v>
      </c>
      <c r="J8">
        <v>725.42</v>
      </c>
      <c r="K8" t="s">
        <v>30</v>
      </c>
    </row>
    <row r="9" spans="1:11" x14ac:dyDescent="0.35">
      <c r="A9" t="s">
        <v>64</v>
      </c>
      <c r="B9" t="s">
        <v>150</v>
      </c>
      <c r="C9" t="s">
        <v>65</v>
      </c>
      <c r="D9" t="s">
        <v>132</v>
      </c>
      <c r="E9" t="s">
        <v>32</v>
      </c>
      <c r="F9">
        <f>1</f>
        <v>1</v>
      </c>
      <c r="G9">
        <v>1</v>
      </c>
      <c r="H9" s="2">
        <v>46218</v>
      </c>
      <c r="I9">
        <v>61.2</v>
      </c>
      <c r="J9">
        <v>61.2</v>
      </c>
      <c r="K9" t="s">
        <v>30</v>
      </c>
    </row>
    <row r="10" spans="1:11" x14ac:dyDescent="0.35">
      <c r="A10" t="s">
        <v>70</v>
      </c>
      <c r="B10" t="s">
        <v>153</v>
      </c>
      <c r="C10" t="s">
        <v>71</v>
      </c>
      <c r="D10" t="s">
        <v>132</v>
      </c>
      <c r="E10" t="s">
        <v>32</v>
      </c>
      <c r="F10">
        <f>1</f>
        <v>1</v>
      </c>
      <c r="G10">
        <v>1</v>
      </c>
      <c r="H10" s="2">
        <v>46218</v>
      </c>
      <c r="I10">
        <v>155.80000000000001</v>
      </c>
      <c r="J10">
        <v>155.80000000000001</v>
      </c>
      <c r="K10" t="s">
        <v>30</v>
      </c>
    </row>
    <row r="11" spans="1:11" x14ac:dyDescent="0.35">
      <c r="A11" t="s">
        <v>75</v>
      </c>
      <c r="B11" t="s">
        <v>156</v>
      </c>
      <c r="C11" t="s">
        <v>76</v>
      </c>
      <c r="D11" t="s">
        <v>132</v>
      </c>
      <c r="E11" t="s">
        <v>32</v>
      </c>
      <c r="F11">
        <f>1</f>
        <v>1</v>
      </c>
      <c r="G11">
        <v>1</v>
      </c>
      <c r="H11" s="2">
        <v>46218</v>
      </c>
      <c r="I11">
        <v>31.5</v>
      </c>
      <c r="J11">
        <v>31.5</v>
      </c>
      <c r="K11" t="s">
        <v>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"/>
  <sheetViews>
    <sheetView zoomScaleNormal="100" workbookViewId="0">
      <selection sqref="A1:U12"/>
    </sheetView>
  </sheetViews>
  <sheetFormatPr defaultColWidth="8.6328125" defaultRowHeight="14.5" x14ac:dyDescent="0.35"/>
  <cols>
    <col min="1" max="1" width="20" customWidth="1"/>
    <col min="2" max="2" width="18.36328125" customWidth="1"/>
    <col min="3" max="3" width="14.1796875" customWidth="1"/>
    <col min="4" max="4" width="10" customWidth="1"/>
    <col min="5" max="5" width="24" customWidth="1"/>
    <col min="6" max="6" width="10" customWidth="1"/>
    <col min="7" max="7" width="8.7265625" customWidth="1"/>
    <col min="8" max="8" width="12.6328125" customWidth="1"/>
    <col min="9" max="9" width="18" customWidth="1"/>
    <col min="10" max="10" width="23.81640625" customWidth="1"/>
    <col min="11" max="11" width="18.1796875" customWidth="1"/>
    <col min="12" max="12" width="16.7265625" customWidth="1"/>
    <col min="13" max="13" width="21.1796875" customWidth="1"/>
    <col min="14" max="14" width="21.90625" customWidth="1"/>
    <col min="15" max="15" width="18.81640625" customWidth="1"/>
    <col min="16" max="16" width="20.54296875" customWidth="1"/>
    <col min="17" max="17" width="21.26953125" customWidth="1"/>
    <col min="18" max="18" width="18.1796875" customWidth="1"/>
    <col min="19" max="19" width="16" customWidth="1"/>
    <col min="20" max="20" width="24" customWidth="1"/>
    <col min="21" max="21" width="16" customWidth="1"/>
  </cols>
  <sheetData>
    <row r="1" spans="1:21" x14ac:dyDescent="0.35">
      <c r="A1" s="1" t="s">
        <v>173</v>
      </c>
      <c r="B1" s="1" t="s">
        <v>174</v>
      </c>
      <c r="C1" s="1" t="s">
        <v>175</v>
      </c>
      <c r="D1" s="1" t="s">
        <v>0</v>
      </c>
      <c r="E1" s="1" t="s">
        <v>1</v>
      </c>
      <c r="F1" s="1" t="s">
        <v>106</v>
      </c>
      <c r="G1" s="1" t="s">
        <v>107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112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187</v>
      </c>
      <c r="U1" s="1" t="s">
        <v>122</v>
      </c>
    </row>
    <row r="2" spans="1:21" x14ac:dyDescent="0.35">
      <c r="A2" t="s">
        <v>188</v>
      </c>
      <c r="B2" t="s">
        <v>189</v>
      </c>
      <c r="C2" s="2">
        <v>45565</v>
      </c>
      <c r="D2" t="s">
        <v>125</v>
      </c>
      <c r="E2" t="s">
        <v>18</v>
      </c>
      <c r="F2" t="s">
        <v>126</v>
      </c>
      <c r="G2" t="s">
        <v>127</v>
      </c>
      <c r="H2">
        <v>3</v>
      </c>
      <c r="I2" t="s">
        <v>190</v>
      </c>
      <c r="J2">
        <v>1.85</v>
      </c>
      <c r="K2" t="s">
        <v>24</v>
      </c>
      <c r="L2">
        <v>20</v>
      </c>
      <c r="M2">
        <v>5.55</v>
      </c>
      <c r="N2">
        <v>0.56000000000000005</v>
      </c>
      <c r="O2">
        <v>4.99</v>
      </c>
      <c r="P2">
        <v>111</v>
      </c>
      <c r="Q2">
        <v>11.1</v>
      </c>
      <c r="R2">
        <v>99.9</v>
      </c>
      <c r="S2" t="s">
        <v>26</v>
      </c>
      <c r="T2">
        <v>99.9</v>
      </c>
      <c r="U2" t="s">
        <v>191</v>
      </c>
    </row>
    <row r="3" spans="1:21" x14ac:dyDescent="0.35">
      <c r="A3" t="s">
        <v>192</v>
      </c>
      <c r="B3" t="s">
        <v>193</v>
      </c>
      <c r="C3" s="2">
        <v>45657</v>
      </c>
      <c r="D3" t="s">
        <v>125</v>
      </c>
      <c r="E3" t="s">
        <v>18</v>
      </c>
      <c r="F3" t="s">
        <v>126</v>
      </c>
      <c r="G3" t="s">
        <v>127</v>
      </c>
      <c r="H3">
        <v>3</v>
      </c>
      <c r="I3" t="s">
        <v>190</v>
      </c>
      <c r="J3">
        <v>1.92</v>
      </c>
      <c r="K3" t="s">
        <v>24</v>
      </c>
      <c r="L3">
        <v>20.149999999999999</v>
      </c>
      <c r="M3">
        <v>5.76</v>
      </c>
      <c r="N3">
        <v>0.57999999999999996</v>
      </c>
      <c r="O3">
        <v>5.18</v>
      </c>
      <c r="P3">
        <v>116.06</v>
      </c>
      <c r="Q3">
        <v>11.61</v>
      </c>
      <c r="R3">
        <v>104.45</v>
      </c>
      <c r="S3" t="s">
        <v>26</v>
      </c>
      <c r="T3">
        <v>104.45</v>
      </c>
      <c r="U3" t="s">
        <v>194</v>
      </c>
    </row>
    <row r="4" spans="1:21" x14ac:dyDescent="0.35">
      <c r="A4" t="s">
        <v>195</v>
      </c>
      <c r="B4" t="s">
        <v>196</v>
      </c>
      <c r="C4" s="2">
        <v>45747</v>
      </c>
      <c r="D4" t="s">
        <v>125</v>
      </c>
      <c r="E4" t="s">
        <v>18</v>
      </c>
      <c r="F4" t="s">
        <v>126</v>
      </c>
      <c r="G4" t="s">
        <v>127</v>
      </c>
      <c r="H4">
        <v>3</v>
      </c>
      <c r="I4" t="s">
        <v>190</v>
      </c>
      <c r="J4">
        <v>1.95</v>
      </c>
      <c r="K4" t="s">
        <v>24</v>
      </c>
      <c r="L4">
        <v>20.420000000000002</v>
      </c>
      <c r="M4">
        <v>5.85</v>
      </c>
      <c r="N4">
        <v>0.59</v>
      </c>
      <c r="O4">
        <v>5.26</v>
      </c>
      <c r="P4">
        <v>119.46</v>
      </c>
      <c r="Q4">
        <v>11.96</v>
      </c>
      <c r="R4">
        <v>107.5</v>
      </c>
      <c r="S4" t="s">
        <v>26</v>
      </c>
      <c r="T4">
        <v>107.5</v>
      </c>
      <c r="U4" t="s">
        <v>197</v>
      </c>
    </row>
    <row r="5" spans="1:21" x14ac:dyDescent="0.35">
      <c r="A5" t="s">
        <v>198</v>
      </c>
      <c r="B5" t="s">
        <v>199</v>
      </c>
      <c r="C5" s="2">
        <v>45838</v>
      </c>
      <c r="D5" t="s">
        <v>125</v>
      </c>
      <c r="E5" t="s">
        <v>18</v>
      </c>
      <c r="F5" t="s">
        <v>126</v>
      </c>
      <c r="G5" t="s">
        <v>127</v>
      </c>
      <c r="H5">
        <v>3</v>
      </c>
      <c r="I5" t="s">
        <v>190</v>
      </c>
      <c r="J5">
        <v>1.98</v>
      </c>
      <c r="K5" t="s">
        <v>24</v>
      </c>
      <c r="L5">
        <v>19.87</v>
      </c>
      <c r="M5">
        <v>5.94</v>
      </c>
      <c r="N5">
        <v>0.59</v>
      </c>
      <c r="O5">
        <v>5.35</v>
      </c>
      <c r="P5">
        <v>118.03</v>
      </c>
      <c r="Q5">
        <v>11.74</v>
      </c>
      <c r="R5">
        <v>106.29</v>
      </c>
      <c r="S5" t="s">
        <v>26</v>
      </c>
      <c r="T5">
        <v>106.29</v>
      </c>
      <c r="U5" t="s">
        <v>200</v>
      </c>
    </row>
    <row r="6" spans="1:21" x14ac:dyDescent="0.35">
      <c r="A6" t="s">
        <v>201</v>
      </c>
      <c r="B6" t="s">
        <v>202</v>
      </c>
      <c r="C6" s="2">
        <v>45930</v>
      </c>
      <c r="D6" t="s">
        <v>125</v>
      </c>
      <c r="E6" t="s">
        <v>18</v>
      </c>
      <c r="F6" t="s">
        <v>126</v>
      </c>
      <c r="G6" t="s">
        <v>127</v>
      </c>
      <c r="H6">
        <v>3</v>
      </c>
      <c r="I6" t="s">
        <v>190</v>
      </c>
      <c r="J6">
        <v>2.0099999999999998</v>
      </c>
      <c r="K6" t="s">
        <v>24</v>
      </c>
      <c r="L6">
        <v>17.52</v>
      </c>
      <c r="M6">
        <v>6.03</v>
      </c>
      <c r="N6">
        <v>0.6</v>
      </c>
      <c r="O6">
        <v>5.43</v>
      </c>
      <c r="P6">
        <v>105.65</v>
      </c>
      <c r="Q6">
        <v>10.56</v>
      </c>
      <c r="R6">
        <v>95.09</v>
      </c>
      <c r="S6" t="s">
        <v>26</v>
      </c>
      <c r="T6">
        <v>95.09</v>
      </c>
      <c r="U6" t="s">
        <v>203</v>
      </c>
    </row>
    <row r="7" spans="1:21" x14ac:dyDescent="0.35">
      <c r="A7" t="s">
        <v>204</v>
      </c>
      <c r="B7" t="s">
        <v>205</v>
      </c>
      <c r="C7" s="2">
        <v>46022</v>
      </c>
      <c r="D7" t="s">
        <v>125</v>
      </c>
      <c r="E7" t="s">
        <v>18</v>
      </c>
      <c r="F7" t="s">
        <v>126</v>
      </c>
      <c r="G7" t="s">
        <v>127</v>
      </c>
      <c r="H7">
        <v>3</v>
      </c>
      <c r="I7" t="s">
        <v>190</v>
      </c>
      <c r="J7">
        <v>2.0499999999999998</v>
      </c>
      <c r="K7" t="s">
        <v>24</v>
      </c>
      <c r="L7">
        <v>17.18</v>
      </c>
      <c r="M7">
        <v>6.15</v>
      </c>
      <c r="N7">
        <v>0.62</v>
      </c>
      <c r="O7">
        <v>5.53</v>
      </c>
      <c r="P7">
        <v>105.66</v>
      </c>
      <c r="Q7">
        <v>10.57</v>
      </c>
      <c r="R7">
        <v>95.09</v>
      </c>
      <c r="S7" t="s">
        <v>26</v>
      </c>
      <c r="T7">
        <v>95.09</v>
      </c>
      <c r="U7" t="s">
        <v>206</v>
      </c>
    </row>
    <row r="8" spans="1:21" x14ac:dyDescent="0.35">
      <c r="A8" t="s">
        <v>207</v>
      </c>
      <c r="B8" t="s">
        <v>208</v>
      </c>
      <c r="C8" s="2">
        <v>46112</v>
      </c>
      <c r="D8" t="s">
        <v>125</v>
      </c>
      <c r="E8" t="s">
        <v>18</v>
      </c>
      <c r="F8" t="s">
        <v>126</v>
      </c>
      <c r="G8" t="s">
        <v>127</v>
      </c>
      <c r="H8">
        <v>3</v>
      </c>
      <c r="I8" t="s">
        <v>190</v>
      </c>
      <c r="J8">
        <v>2.08</v>
      </c>
      <c r="K8" t="s">
        <v>24</v>
      </c>
      <c r="L8">
        <v>17.350000000000001</v>
      </c>
      <c r="M8">
        <v>6.24</v>
      </c>
      <c r="N8">
        <v>0.62</v>
      </c>
      <c r="O8">
        <v>5.62</v>
      </c>
      <c r="P8">
        <v>108.26</v>
      </c>
      <c r="Q8">
        <v>10.76</v>
      </c>
      <c r="R8">
        <v>97.5</v>
      </c>
      <c r="S8" t="s">
        <v>26</v>
      </c>
      <c r="T8">
        <v>97.5</v>
      </c>
      <c r="U8" t="s">
        <v>209</v>
      </c>
    </row>
    <row r="9" spans="1:21" x14ac:dyDescent="0.35">
      <c r="A9" t="s">
        <v>210</v>
      </c>
      <c r="B9" t="s">
        <v>211</v>
      </c>
      <c r="C9" s="2">
        <v>45991</v>
      </c>
      <c r="D9" t="s">
        <v>150</v>
      </c>
      <c r="E9" t="s">
        <v>65</v>
      </c>
      <c r="F9" t="s">
        <v>126</v>
      </c>
      <c r="G9" t="s">
        <v>132</v>
      </c>
      <c r="H9">
        <v>200</v>
      </c>
      <c r="I9" t="s">
        <v>190</v>
      </c>
      <c r="J9">
        <v>0.85</v>
      </c>
      <c r="K9" t="s">
        <v>32</v>
      </c>
      <c r="L9">
        <v>1</v>
      </c>
      <c r="M9">
        <v>170</v>
      </c>
      <c r="N9">
        <v>17</v>
      </c>
      <c r="O9">
        <v>153</v>
      </c>
      <c r="P9">
        <v>170</v>
      </c>
      <c r="Q9">
        <v>17</v>
      </c>
      <c r="R9">
        <v>153</v>
      </c>
      <c r="S9" t="s">
        <v>26</v>
      </c>
      <c r="T9">
        <v>153</v>
      </c>
      <c r="U9" t="s">
        <v>212</v>
      </c>
    </row>
    <row r="10" spans="1:21" x14ac:dyDescent="0.35">
      <c r="A10" t="s">
        <v>213</v>
      </c>
      <c r="B10" t="s">
        <v>214</v>
      </c>
      <c r="C10" s="2">
        <v>46081</v>
      </c>
      <c r="D10" t="s">
        <v>153</v>
      </c>
      <c r="E10" t="s">
        <v>71</v>
      </c>
      <c r="F10" t="s">
        <v>126</v>
      </c>
      <c r="G10" t="s">
        <v>132</v>
      </c>
      <c r="H10">
        <v>100</v>
      </c>
      <c r="I10" t="s">
        <v>190</v>
      </c>
      <c r="J10">
        <v>2.4</v>
      </c>
      <c r="K10" t="s">
        <v>32</v>
      </c>
      <c r="L10">
        <v>1</v>
      </c>
      <c r="M10">
        <v>240</v>
      </c>
      <c r="N10">
        <v>24</v>
      </c>
      <c r="O10">
        <v>216</v>
      </c>
      <c r="P10">
        <v>240</v>
      </c>
      <c r="Q10">
        <v>24</v>
      </c>
      <c r="R10">
        <v>216</v>
      </c>
      <c r="S10" t="s">
        <v>26</v>
      </c>
      <c r="T10">
        <v>216</v>
      </c>
      <c r="U10" t="s">
        <v>215</v>
      </c>
    </row>
    <row r="11" spans="1:21" x14ac:dyDescent="0.35">
      <c r="A11" t="s">
        <v>216</v>
      </c>
      <c r="B11" t="s">
        <v>208</v>
      </c>
      <c r="C11" s="2">
        <v>46112</v>
      </c>
      <c r="D11" t="s">
        <v>156</v>
      </c>
      <c r="E11" t="s">
        <v>76</v>
      </c>
      <c r="F11" t="s">
        <v>126</v>
      </c>
      <c r="G11" t="s">
        <v>132</v>
      </c>
      <c r="H11">
        <v>300</v>
      </c>
      <c r="I11" t="s">
        <v>190</v>
      </c>
      <c r="J11">
        <v>0.65</v>
      </c>
      <c r="K11" t="s">
        <v>32</v>
      </c>
      <c r="L11">
        <v>1</v>
      </c>
      <c r="M11">
        <v>195</v>
      </c>
      <c r="N11">
        <v>0</v>
      </c>
      <c r="O11">
        <v>195</v>
      </c>
      <c r="P11">
        <v>195</v>
      </c>
      <c r="Q11">
        <v>0</v>
      </c>
      <c r="R11">
        <v>195</v>
      </c>
      <c r="S11" t="s">
        <v>26</v>
      </c>
      <c r="T11">
        <v>195</v>
      </c>
      <c r="U11" t="s">
        <v>217</v>
      </c>
    </row>
    <row r="12" spans="1:21" x14ac:dyDescent="0.35">
      <c r="A12" t="s">
        <v>218</v>
      </c>
      <c r="B12" t="s">
        <v>219</v>
      </c>
      <c r="C12" s="2">
        <v>46203</v>
      </c>
      <c r="D12" t="s">
        <v>135</v>
      </c>
      <c r="E12" t="s">
        <v>34</v>
      </c>
      <c r="F12" t="s">
        <v>126</v>
      </c>
      <c r="G12" t="s">
        <v>127</v>
      </c>
      <c r="H12">
        <v>2</v>
      </c>
      <c r="I12" t="s">
        <v>190</v>
      </c>
      <c r="J12">
        <v>0.72</v>
      </c>
      <c r="K12" t="s">
        <v>24</v>
      </c>
      <c r="L12">
        <v>17.48</v>
      </c>
      <c r="M12">
        <v>1.44</v>
      </c>
      <c r="N12">
        <v>0.14000000000000001</v>
      </c>
      <c r="O12">
        <v>1.3</v>
      </c>
      <c r="P12">
        <v>25.17</v>
      </c>
      <c r="Q12">
        <v>2.4500000000000002</v>
      </c>
      <c r="R12">
        <v>22.72</v>
      </c>
      <c r="S12" t="s">
        <v>26</v>
      </c>
      <c r="T12">
        <v>22.72</v>
      </c>
      <c r="U12" t="s">
        <v>220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zoomScaleNormal="100" workbookViewId="0">
      <selection sqref="A1:I22"/>
    </sheetView>
  </sheetViews>
  <sheetFormatPr defaultColWidth="8.6328125" defaultRowHeight="14.5" x14ac:dyDescent="0.35"/>
  <cols>
    <col min="1" max="1" width="14" customWidth="1"/>
    <col min="2" max="2" width="16" customWidth="1"/>
    <col min="3" max="4" width="14" customWidth="1"/>
    <col min="5" max="5" width="15.26953125" customWidth="1"/>
    <col min="6" max="6" width="12.6328125" customWidth="1"/>
    <col min="7" max="7" width="19.36328125" customWidth="1"/>
    <col min="8" max="8" width="10" customWidth="1"/>
    <col min="9" max="9" width="16" customWidth="1"/>
  </cols>
  <sheetData>
    <row r="1" spans="1:9" x14ac:dyDescent="0.35">
      <c r="A1" s="1" t="s">
        <v>16</v>
      </c>
      <c r="B1" s="1" t="s">
        <v>1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15</v>
      </c>
      <c r="I1" s="1" t="s">
        <v>122</v>
      </c>
    </row>
    <row r="2" spans="1:9" x14ac:dyDescent="0.35">
      <c r="A2" t="s">
        <v>89</v>
      </c>
      <c r="B2" t="s">
        <v>90</v>
      </c>
      <c r="C2" s="2">
        <v>44256</v>
      </c>
      <c r="D2" s="2">
        <v>44621</v>
      </c>
      <c r="E2">
        <v>10000</v>
      </c>
      <c r="F2">
        <v>8.5000000000000006E-2</v>
      </c>
      <c r="G2" t="s">
        <v>226</v>
      </c>
      <c r="H2" t="s">
        <v>227</v>
      </c>
    </row>
    <row r="3" spans="1:9" x14ac:dyDescent="0.35">
      <c r="A3" t="s">
        <v>89</v>
      </c>
      <c r="B3" t="s">
        <v>90</v>
      </c>
      <c r="C3" s="2">
        <v>44362</v>
      </c>
      <c r="D3" s="2">
        <v>44727</v>
      </c>
      <c r="E3">
        <v>15000</v>
      </c>
      <c r="F3">
        <v>8.5000000000000006E-2</v>
      </c>
      <c r="G3" t="s">
        <v>226</v>
      </c>
      <c r="H3" t="s">
        <v>227</v>
      </c>
    </row>
    <row r="4" spans="1:9" x14ac:dyDescent="0.35">
      <c r="A4" t="s">
        <v>89</v>
      </c>
      <c r="B4" t="s">
        <v>90</v>
      </c>
      <c r="C4" s="2">
        <v>44571</v>
      </c>
      <c r="D4" s="2">
        <v>44936</v>
      </c>
      <c r="E4">
        <v>20000</v>
      </c>
      <c r="F4">
        <v>0.10009999999999999</v>
      </c>
      <c r="G4" t="s">
        <v>226</v>
      </c>
      <c r="H4" t="s">
        <v>227</v>
      </c>
    </row>
    <row r="5" spans="1:9" x14ac:dyDescent="0.35">
      <c r="A5" t="s">
        <v>89</v>
      </c>
      <c r="B5" t="s">
        <v>90</v>
      </c>
      <c r="C5" s="2">
        <v>44652</v>
      </c>
      <c r="D5" s="2">
        <v>45017</v>
      </c>
      <c r="E5">
        <v>25000</v>
      </c>
      <c r="F5">
        <v>0.10009999999999999</v>
      </c>
      <c r="G5" t="s">
        <v>226</v>
      </c>
      <c r="H5" t="s">
        <v>227</v>
      </c>
    </row>
    <row r="6" spans="1:9" x14ac:dyDescent="0.35">
      <c r="A6" t="s">
        <v>89</v>
      </c>
      <c r="B6" t="s">
        <v>90</v>
      </c>
      <c r="C6" s="2">
        <v>44757</v>
      </c>
      <c r="D6" s="2">
        <v>45122</v>
      </c>
      <c r="E6">
        <v>30000</v>
      </c>
      <c r="F6">
        <v>0.12</v>
      </c>
      <c r="G6" t="s">
        <v>226</v>
      </c>
      <c r="H6" t="s">
        <v>227</v>
      </c>
    </row>
    <row r="7" spans="1:9" x14ac:dyDescent="0.35">
      <c r="A7" t="s">
        <v>89</v>
      </c>
      <c r="B7" t="s">
        <v>90</v>
      </c>
      <c r="C7" s="2">
        <v>44835</v>
      </c>
      <c r="D7" s="2">
        <v>45200</v>
      </c>
      <c r="E7">
        <v>35000</v>
      </c>
      <c r="F7">
        <v>0.12</v>
      </c>
      <c r="G7" t="s">
        <v>226</v>
      </c>
      <c r="H7" t="s">
        <v>227</v>
      </c>
    </row>
    <row r="8" spans="1:9" x14ac:dyDescent="0.35">
      <c r="A8" t="s">
        <v>89</v>
      </c>
      <c r="B8" t="s">
        <v>90</v>
      </c>
      <c r="C8" s="2">
        <v>44927</v>
      </c>
      <c r="D8" s="2">
        <v>45292</v>
      </c>
      <c r="E8">
        <v>50000</v>
      </c>
      <c r="F8">
        <v>0.13500000000000001</v>
      </c>
      <c r="G8" t="s">
        <v>226</v>
      </c>
      <c r="H8" t="s">
        <v>227</v>
      </c>
    </row>
    <row r="9" spans="1:9" x14ac:dyDescent="0.35">
      <c r="A9" t="s">
        <v>89</v>
      </c>
      <c r="B9" t="s">
        <v>90</v>
      </c>
      <c r="C9" s="2">
        <v>45017</v>
      </c>
      <c r="D9" s="2">
        <v>45383</v>
      </c>
      <c r="E9">
        <v>60000</v>
      </c>
      <c r="F9">
        <v>0.13500000000000001</v>
      </c>
      <c r="G9" t="s">
        <v>226</v>
      </c>
      <c r="H9" t="s">
        <v>227</v>
      </c>
    </row>
    <row r="10" spans="1:9" x14ac:dyDescent="0.35">
      <c r="A10" t="s">
        <v>89</v>
      </c>
      <c r="B10" t="s">
        <v>90</v>
      </c>
      <c r="C10" s="2">
        <v>45108</v>
      </c>
      <c r="D10" s="2">
        <v>45474</v>
      </c>
      <c r="E10">
        <v>40000</v>
      </c>
      <c r="F10">
        <v>0.12</v>
      </c>
      <c r="G10" t="s">
        <v>226</v>
      </c>
      <c r="H10" t="s">
        <v>227</v>
      </c>
    </row>
    <row r="11" spans="1:9" x14ac:dyDescent="0.35">
      <c r="A11" t="s">
        <v>89</v>
      </c>
      <c r="B11" t="s">
        <v>90</v>
      </c>
      <c r="C11" s="2">
        <v>45200</v>
      </c>
      <c r="D11" s="2">
        <v>45566</v>
      </c>
      <c r="E11">
        <v>30000</v>
      </c>
      <c r="F11">
        <v>0.12</v>
      </c>
      <c r="G11" t="s">
        <v>226</v>
      </c>
      <c r="H11" t="s">
        <v>227</v>
      </c>
    </row>
    <row r="12" spans="1:9" x14ac:dyDescent="0.35">
      <c r="A12" t="s">
        <v>89</v>
      </c>
      <c r="B12" t="s">
        <v>90</v>
      </c>
      <c r="C12" s="2">
        <v>45306</v>
      </c>
      <c r="D12" s="2">
        <v>45672</v>
      </c>
      <c r="E12">
        <v>50000</v>
      </c>
      <c r="F12">
        <v>0.11</v>
      </c>
      <c r="G12" t="s">
        <v>226</v>
      </c>
      <c r="H12" t="s">
        <v>227</v>
      </c>
    </row>
    <row r="13" spans="1:9" x14ac:dyDescent="0.35">
      <c r="A13" t="s">
        <v>89</v>
      </c>
      <c r="B13" t="s">
        <v>90</v>
      </c>
      <c r="C13" s="2">
        <v>45383</v>
      </c>
      <c r="D13" s="2">
        <v>45748</v>
      </c>
      <c r="E13">
        <v>40000</v>
      </c>
      <c r="F13">
        <v>0.1009</v>
      </c>
      <c r="G13" t="s">
        <v>226</v>
      </c>
      <c r="H13" t="s">
        <v>227</v>
      </c>
    </row>
    <row r="14" spans="1:9" x14ac:dyDescent="0.35">
      <c r="A14" t="s">
        <v>89</v>
      </c>
      <c r="B14" t="s">
        <v>90</v>
      </c>
      <c r="C14" s="2">
        <v>45505</v>
      </c>
      <c r="D14" s="2">
        <v>45870</v>
      </c>
      <c r="E14">
        <v>35000</v>
      </c>
      <c r="F14">
        <v>0.1009</v>
      </c>
      <c r="G14" t="s">
        <v>226</v>
      </c>
      <c r="H14" t="s">
        <v>227</v>
      </c>
    </row>
    <row r="15" spans="1:9" x14ac:dyDescent="0.35">
      <c r="A15" t="s">
        <v>89</v>
      </c>
      <c r="B15" t="s">
        <v>90</v>
      </c>
      <c r="C15" s="2">
        <v>45597</v>
      </c>
      <c r="D15" s="2">
        <v>46327</v>
      </c>
      <c r="E15">
        <v>80000</v>
      </c>
      <c r="F15">
        <v>0.1009</v>
      </c>
      <c r="G15" t="s">
        <v>226</v>
      </c>
      <c r="H15" t="s">
        <v>30</v>
      </c>
    </row>
    <row r="16" spans="1:9" x14ac:dyDescent="0.35">
      <c r="A16" t="s">
        <v>89</v>
      </c>
      <c r="B16" t="s">
        <v>90</v>
      </c>
      <c r="C16" s="2">
        <v>45689</v>
      </c>
      <c r="D16" s="2">
        <v>46235</v>
      </c>
      <c r="E16">
        <v>60000</v>
      </c>
      <c r="F16">
        <v>0.1009</v>
      </c>
      <c r="G16" t="s">
        <v>226</v>
      </c>
      <c r="H16" t="s">
        <v>30</v>
      </c>
    </row>
    <row r="17" spans="1:9" x14ac:dyDescent="0.35">
      <c r="A17" t="s">
        <v>89</v>
      </c>
      <c r="B17" t="s">
        <v>90</v>
      </c>
      <c r="C17" s="2">
        <v>45809</v>
      </c>
      <c r="D17" s="2">
        <v>46539</v>
      </c>
      <c r="E17">
        <v>45000</v>
      </c>
      <c r="F17">
        <v>0.1009</v>
      </c>
      <c r="G17" t="s">
        <v>226</v>
      </c>
      <c r="H17" t="s">
        <v>30</v>
      </c>
    </row>
    <row r="18" spans="1:9" x14ac:dyDescent="0.35">
      <c r="A18" t="s">
        <v>89</v>
      </c>
      <c r="B18" t="s">
        <v>90</v>
      </c>
      <c r="C18" s="2">
        <v>45931</v>
      </c>
      <c r="D18" s="2">
        <v>47027</v>
      </c>
      <c r="E18">
        <v>25000</v>
      </c>
      <c r="F18">
        <v>0.12</v>
      </c>
      <c r="G18" t="s">
        <v>226</v>
      </c>
      <c r="H18" t="s">
        <v>30</v>
      </c>
    </row>
    <row r="19" spans="1:9" x14ac:dyDescent="0.35">
      <c r="A19" t="s">
        <v>95</v>
      </c>
      <c r="B19" t="s">
        <v>96</v>
      </c>
      <c r="C19" s="2">
        <v>46082</v>
      </c>
      <c r="D19" s="2">
        <v>46112</v>
      </c>
      <c r="E19">
        <v>85420.5</v>
      </c>
      <c r="F19">
        <v>6.7500000000000004E-2</v>
      </c>
      <c r="G19" t="s">
        <v>228</v>
      </c>
      <c r="H19" t="s">
        <v>227</v>
      </c>
      <c r="I19" t="s">
        <v>229</v>
      </c>
    </row>
    <row r="20" spans="1:9" x14ac:dyDescent="0.35">
      <c r="A20" t="s">
        <v>95</v>
      </c>
      <c r="B20" t="s">
        <v>96</v>
      </c>
      <c r="C20" s="2">
        <v>46113</v>
      </c>
      <c r="D20" s="2">
        <v>46142</v>
      </c>
      <c r="E20">
        <v>87650.25</v>
      </c>
      <c r="F20">
        <v>6.7500000000000004E-2</v>
      </c>
      <c r="G20" t="s">
        <v>228</v>
      </c>
      <c r="H20" t="s">
        <v>227</v>
      </c>
      <c r="I20" t="s">
        <v>229</v>
      </c>
    </row>
    <row r="21" spans="1:9" x14ac:dyDescent="0.35">
      <c r="A21" t="s">
        <v>95</v>
      </c>
      <c r="B21" t="s">
        <v>96</v>
      </c>
      <c r="C21" s="2">
        <v>46143</v>
      </c>
      <c r="D21" s="2">
        <v>46173</v>
      </c>
      <c r="E21">
        <v>91230.8</v>
      </c>
      <c r="F21">
        <v>6.7500000000000004E-2</v>
      </c>
      <c r="G21" t="s">
        <v>228</v>
      </c>
      <c r="H21" t="s">
        <v>227</v>
      </c>
      <c r="I21" t="s">
        <v>229</v>
      </c>
    </row>
    <row r="22" spans="1:9" x14ac:dyDescent="0.35">
      <c r="A22" t="s">
        <v>95</v>
      </c>
      <c r="B22" t="s">
        <v>96</v>
      </c>
      <c r="C22" s="2">
        <v>46174</v>
      </c>
      <c r="D22" s="2">
        <v>46387</v>
      </c>
      <c r="E22">
        <v>94580.4</v>
      </c>
      <c r="F22">
        <v>6.7500000000000004E-2</v>
      </c>
      <c r="G22" t="s">
        <v>228</v>
      </c>
      <c r="H22" t="s">
        <v>30</v>
      </c>
      <c r="I22" t="s">
        <v>229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zoomScaleNormal="100" workbookViewId="0">
      <selection sqref="A1:J30"/>
    </sheetView>
  </sheetViews>
  <sheetFormatPr defaultColWidth="8.6328125" defaultRowHeight="14.5" x14ac:dyDescent="0.35"/>
  <cols>
    <col min="1" max="1" width="14.90625" customWidth="1"/>
    <col min="2" max="2" width="14" customWidth="1"/>
    <col min="3" max="3" width="24" customWidth="1"/>
    <col min="4" max="4" width="14" customWidth="1"/>
    <col min="5" max="5" width="10.7265625" customWidth="1"/>
    <col min="6" max="6" width="16.7265625" customWidth="1"/>
    <col min="7" max="8" width="14" customWidth="1"/>
    <col min="9" max="9" width="10.1796875" customWidth="1"/>
    <col min="10" max="10" width="16" customWidth="1"/>
  </cols>
  <sheetData>
    <row r="1" spans="1:10" x14ac:dyDescent="0.35">
      <c r="A1" s="1" t="s">
        <v>230</v>
      </c>
      <c r="B1" s="1" t="s">
        <v>231</v>
      </c>
      <c r="C1" s="1" t="s">
        <v>1</v>
      </c>
      <c r="D1" s="1" t="s">
        <v>2</v>
      </c>
      <c r="E1" s="1" t="s">
        <v>232</v>
      </c>
      <c r="F1" s="1" t="s">
        <v>112</v>
      </c>
      <c r="G1" s="1" t="s">
        <v>233</v>
      </c>
      <c r="H1" s="1" t="s">
        <v>234</v>
      </c>
      <c r="I1" s="1" t="s">
        <v>109</v>
      </c>
      <c r="J1" s="1" t="s">
        <v>122</v>
      </c>
    </row>
    <row r="2" spans="1:10" x14ac:dyDescent="0.35">
      <c r="A2" s="2">
        <v>46081</v>
      </c>
      <c r="B2" t="s">
        <v>235</v>
      </c>
      <c r="C2" t="s">
        <v>18</v>
      </c>
      <c r="D2" t="s">
        <v>19</v>
      </c>
      <c r="E2" t="s">
        <v>24</v>
      </c>
      <c r="F2">
        <v>17.350000000000001</v>
      </c>
      <c r="G2">
        <v>1630.5</v>
      </c>
      <c r="H2">
        <v>28289.18</v>
      </c>
      <c r="I2">
        <v>3</v>
      </c>
    </row>
    <row r="3" spans="1:10" x14ac:dyDescent="0.35">
      <c r="A3" s="2">
        <v>46081</v>
      </c>
      <c r="B3" t="s">
        <v>235</v>
      </c>
      <c r="C3" t="s">
        <v>18</v>
      </c>
      <c r="D3" t="s">
        <v>19</v>
      </c>
      <c r="E3" t="s">
        <v>32</v>
      </c>
      <c r="F3">
        <v>1</v>
      </c>
      <c r="G3">
        <v>29450</v>
      </c>
      <c r="H3">
        <v>29450</v>
      </c>
      <c r="I3">
        <v>10</v>
      </c>
      <c r="J3" t="s">
        <v>236</v>
      </c>
    </row>
    <row r="4" spans="1:10" x14ac:dyDescent="0.35">
      <c r="A4" s="2">
        <v>46081</v>
      </c>
      <c r="B4" t="s">
        <v>235</v>
      </c>
      <c r="C4" t="s">
        <v>34</v>
      </c>
      <c r="D4" t="s">
        <v>19</v>
      </c>
      <c r="E4" t="s">
        <v>24</v>
      </c>
      <c r="F4">
        <v>17.350000000000001</v>
      </c>
      <c r="G4">
        <v>940.2</v>
      </c>
      <c r="H4">
        <v>16312.47</v>
      </c>
      <c r="I4">
        <v>2</v>
      </c>
    </row>
    <row r="5" spans="1:10" x14ac:dyDescent="0.35">
      <c r="A5" s="2">
        <v>46081</v>
      </c>
      <c r="B5" t="s">
        <v>235</v>
      </c>
      <c r="C5" t="s">
        <v>41</v>
      </c>
      <c r="D5" t="s">
        <v>42</v>
      </c>
      <c r="E5" t="s">
        <v>24</v>
      </c>
      <c r="F5">
        <v>17.350000000000001</v>
      </c>
      <c r="G5">
        <v>1250.0999999999999</v>
      </c>
      <c r="H5">
        <v>21689.24</v>
      </c>
      <c r="I5">
        <v>3</v>
      </c>
    </row>
    <row r="6" spans="1:10" x14ac:dyDescent="0.35">
      <c r="A6" s="2">
        <v>46081</v>
      </c>
      <c r="B6" t="s">
        <v>235</v>
      </c>
      <c r="C6" t="s">
        <v>46</v>
      </c>
      <c r="D6" t="s">
        <v>42</v>
      </c>
      <c r="E6" t="s">
        <v>24</v>
      </c>
      <c r="F6">
        <v>17.350000000000001</v>
      </c>
      <c r="G6">
        <v>420.5</v>
      </c>
      <c r="H6">
        <v>7295.68</v>
      </c>
      <c r="I6">
        <v>2</v>
      </c>
    </row>
    <row r="7" spans="1:10" x14ac:dyDescent="0.35">
      <c r="A7" s="2">
        <v>46081</v>
      </c>
      <c r="B7" t="s">
        <v>91</v>
      </c>
      <c r="C7" t="s">
        <v>90</v>
      </c>
      <c r="D7" t="s">
        <v>91</v>
      </c>
      <c r="E7" t="s">
        <v>32</v>
      </c>
      <c r="F7">
        <v>1</v>
      </c>
      <c r="G7">
        <v>210000</v>
      </c>
      <c r="H7">
        <v>210000</v>
      </c>
      <c r="I7">
        <v>1</v>
      </c>
    </row>
    <row r="8" spans="1:10" x14ac:dyDescent="0.35">
      <c r="A8" s="2">
        <v>46081</v>
      </c>
      <c r="B8" t="s">
        <v>97</v>
      </c>
      <c r="C8" t="s">
        <v>96</v>
      </c>
      <c r="D8" t="s">
        <v>97</v>
      </c>
      <c r="E8" t="s">
        <v>32</v>
      </c>
      <c r="F8">
        <v>1</v>
      </c>
      <c r="G8">
        <v>85420.5</v>
      </c>
      <c r="H8">
        <v>85420.5</v>
      </c>
      <c r="I8">
        <v>1</v>
      </c>
    </row>
    <row r="9" spans="1:10" x14ac:dyDescent="0.35">
      <c r="A9" s="2">
        <v>46081</v>
      </c>
      <c r="B9" t="s">
        <v>237</v>
      </c>
      <c r="C9" t="s">
        <v>238</v>
      </c>
      <c r="D9" t="s">
        <v>237</v>
      </c>
      <c r="E9" t="s">
        <v>32</v>
      </c>
      <c r="F9">
        <v>1</v>
      </c>
      <c r="G9">
        <v>8500</v>
      </c>
      <c r="H9">
        <v>8500</v>
      </c>
      <c r="I9">
        <v>1</v>
      </c>
    </row>
    <row r="10" spans="1:10" x14ac:dyDescent="0.35">
      <c r="A10" s="2">
        <v>46111</v>
      </c>
      <c r="B10" t="s">
        <v>235</v>
      </c>
      <c r="C10" t="s">
        <v>18</v>
      </c>
      <c r="D10" t="s">
        <v>19</v>
      </c>
      <c r="E10" t="s">
        <v>24</v>
      </c>
      <c r="F10">
        <v>17.48</v>
      </c>
      <c r="G10">
        <v>1680.3</v>
      </c>
      <c r="H10">
        <v>29372.84</v>
      </c>
      <c r="I10">
        <v>3</v>
      </c>
    </row>
    <row r="11" spans="1:10" x14ac:dyDescent="0.35">
      <c r="A11" s="2">
        <v>46111</v>
      </c>
      <c r="B11" t="s">
        <v>235</v>
      </c>
      <c r="C11" t="s">
        <v>18</v>
      </c>
      <c r="D11" t="s">
        <v>19</v>
      </c>
      <c r="E11" t="s">
        <v>32</v>
      </c>
      <c r="F11">
        <v>1</v>
      </c>
      <c r="G11">
        <v>30100</v>
      </c>
      <c r="H11">
        <v>30100</v>
      </c>
      <c r="I11">
        <v>10</v>
      </c>
      <c r="J11" t="s">
        <v>236</v>
      </c>
    </row>
    <row r="12" spans="1:10" x14ac:dyDescent="0.35">
      <c r="A12" s="2">
        <v>46111</v>
      </c>
      <c r="B12" t="s">
        <v>235</v>
      </c>
      <c r="C12" t="s">
        <v>34</v>
      </c>
      <c r="D12" t="s">
        <v>19</v>
      </c>
      <c r="E12" t="s">
        <v>24</v>
      </c>
      <c r="F12">
        <v>17.48</v>
      </c>
      <c r="G12">
        <v>968.4</v>
      </c>
      <c r="H12">
        <v>16928.349999999999</v>
      </c>
      <c r="I12">
        <v>2</v>
      </c>
    </row>
    <row r="13" spans="1:10" x14ac:dyDescent="0.35">
      <c r="A13" s="2">
        <v>46111</v>
      </c>
      <c r="B13" t="s">
        <v>235</v>
      </c>
      <c r="C13" t="s">
        <v>41</v>
      </c>
      <c r="D13" t="s">
        <v>42</v>
      </c>
      <c r="E13" t="s">
        <v>24</v>
      </c>
      <c r="F13">
        <v>17.48</v>
      </c>
      <c r="G13">
        <v>1185.5999999999999</v>
      </c>
      <c r="H13">
        <v>20724.29</v>
      </c>
      <c r="I13">
        <v>3</v>
      </c>
    </row>
    <row r="14" spans="1:10" x14ac:dyDescent="0.35">
      <c r="A14" s="2">
        <v>46111</v>
      </c>
      <c r="B14" t="s">
        <v>235</v>
      </c>
      <c r="C14" t="s">
        <v>46</v>
      </c>
      <c r="D14" t="s">
        <v>42</v>
      </c>
      <c r="E14" t="s">
        <v>24</v>
      </c>
      <c r="F14">
        <v>17.48</v>
      </c>
      <c r="G14">
        <v>410.2</v>
      </c>
      <c r="H14">
        <v>7170.3</v>
      </c>
      <c r="I14">
        <v>2</v>
      </c>
    </row>
    <row r="15" spans="1:10" x14ac:dyDescent="0.35">
      <c r="A15" s="2">
        <v>46111</v>
      </c>
      <c r="B15" t="s">
        <v>91</v>
      </c>
      <c r="C15" t="s">
        <v>90</v>
      </c>
      <c r="D15" t="s">
        <v>91</v>
      </c>
      <c r="E15" t="s">
        <v>32</v>
      </c>
      <c r="F15">
        <v>1</v>
      </c>
      <c r="G15">
        <v>210000</v>
      </c>
      <c r="H15">
        <v>210000</v>
      </c>
      <c r="I15">
        <v>1</v>
      </c>
    </row>
    <row r="16" spans="1:10" x14ac:dyDescent="0.35">
      <c r="A16" s="2">
        <v>46111</v>
      </c>
      <c r="B16" t="s">
        <v>97</v>
      </c>
      <c r="C16" t="s">
        <v>96</v>
      </c>
      <c r="D16" t="s">
        <v>97</v>
      </c>
      <c r="E16" t="s">
        <v>32</v>
      </c>
      <c r="F16">
        <v>1</v>
      </c>
      <c r="G16">
        <v>87650.25</v>
      </c>
      <c r="H16">
        <v>87650.25</v>
      </c>
      <c r="I16">
        <v>1</v>
      </c>
    </row>
    <row r="17" spans="1:10" x14ac:dyDescent="0.35">
      <c r="A17" s="2">
        <v>46111</v>
      </c>
      <c r="B17" t="s">
        <v>237</v>
      </c>
      <c r="C17" t="s">
        <v>238</v>
      </c>
      <c r="D17" t="s">
        <v>237</v>
      </c>
      <c r="E17" t="s">
        <v>32</v>
      </c>
      <c r="F17">
        <v>1</v>
      </c>
      <c r="G17">
        <v>6200</v>
      </c>
      <c r="H17">
        <v>6200</v>
      </c>
      <c r="I17">
        <v>1</v>
      </c>
    </row>
    <row r="18" spans="1:10" x14ac:dyDescent="0.35">
      <c r="A18" s="2">
        <v>46203</v>
      </c>
      <c r="B18" t="s">
        <v>235</v>
      </c>
      <c r="C18" t="s">
        <v>18</v>
      </c>
      <c r="D18" t="s">
        <v>19</v>
      </c>
      <c r="E18" t="s">
        <v>24</v>
      </c>
      <c r="F18">
        <v>17.48</v>
      </c>
      <c r="G18">
        <v>1674.6</v>
      </c>
      <c r="H18">
        <v>29271.61</v>
      </c>
      <c r="I18">
        <v>3</v>
      </c>
    </row>
    <row r="19" spans="1:10" x14ac:dyDescent="0.35">
      <c r="A19" s="2">
        <v>46203</v>
      </c>
      <c r="B19" t="s">
        <v>235</v>
      </c>
      <c r="C19" t="s">
        <v>18</v>
      </c>
      <c r="D19" t="s">
        <v>19</v>
      </c>
      <c r="E19" t="s">
        <v>32</v>
      </c>
      <c r="F19">
        <v>1</v>
      </c>
      <c r="G19">
        <v>29848.5</v>
      </c>
      <c r="H19">
        <v>29848.5</v>
      </c>
      <c r="I19">
        <v>10</v>
      </c>
      <c r="J19" t="s">
        <v>236</v>
      </c>
    </row>
    <row r="20" spans="1:10" x14ac:dyDescent="0.35">
      <c r="A20" s="2">
        <v>46203</v>
      </c>
      <c r="B20" t="s">
        <v>235</v>
      </c>
      <c r="C20" t="s">
        <v>34</v>
      </c>
      <c r="D20" t="s">
        <v>19</v>
      </c>
      <c r="E20" t="s">
        <v>24</v>
      </c>
      <c r="F20">
        <v>17.48</v>
      </c>
      <c r="G20">
        <v>984.6</v>
      </c>
      <c r="H20">
        <v>17210.77</v>
      </c>
      <c r="I20">
        <v>2</v>
      </c>
    </row>
    <row r="21" spans="1:10" x14ac:dyDescent="0.35">
      <c r="A21" s="2">
        <v>46203</v>
      </c>
      <c r="B21" t="s">
        <v>235</v>
      </c>
      <c r="C21" t="s">
        <v>41</v>
      </c>
      <c r="D21" t="s">
        <v>42</v>
      </c>
      <c r="E21" t="s">
        <v>24</v>
      </c>
      <c r="F21">
        <v>17.48</v>
      </c>
      <c r="G21">
        <v>1156.2</v>
      </c>
      <c r="H21">
        <v>20210.38</v>
      </c>
      <c r="I21">
        <v>3</v>
      </c>
    </row>
    <row r="22" spans="1:10" x14ac:dyDescent="0.35">
      <c r="A22" s="2">
        <v>46203</v>
      </c>
      <c r="B22" t="s">
        <v>235</v>
      </c>
      <c r="C22" t="s">
        <v>46</v>
      </c>
      <c r="D22" t="s">
        <v>42</v>
      </c>
      <c r="E22" t="s">
        <v>24</v>
      </c>
      <c r="F22">
        <v>17.48</v>
      </c>
      <c r="G22">
        <v>397.4</v>
      </c>
      <c r="H22">
        <v>6946.55</v>
      </c>
      <c r="I22">
        <v>2</v>
      </c>
    </row>
    <row r="23" spans="1:10" x14ac:dyDescent="0.35">
      <c r="A23" s="2">
        <v>46203</v>
      </c>
      <c r="B23" t="s">
        <v>235</v>
      </c>
      <c r="C23" t="s">
        <v>51</v>
      </c>
      <c r="D23" t="s">
        <v>19</v>
      </c>
      <c r="E23" t="s">
        <v>24</v>
      </c>
      <c r="F23">
        <v>17.48</v>
      </c>
      <c r="G23">
        <v>144.5</v>
      </c>
      <c r="H23">
        <v>2525.86</v>
      </c>
      <c r="I23">
        <v>5</v>
      </c>
    </row>
    <row r="24" spans="1:10" x14ac:dyDescent="0.35">
      <c r="A24" s="2">
        <v>46203</v>
      </c>
      <c r="B24" t="s">
        <v>235</v>
      </c>
      <c r="C24" t="s">
        <v>58</v>
      </c>
      <c r="D24" t="s">
        <v>19</v>
      </c>
      <c r="E24" t="s">
        <v>24</v>
      </c>
      <c r="F24">
        <v>17.48</v>
      </c>
      <c r="G24">
        <v>207.5</v>
      </c>
      <c r="H24">
        <v>3627.1</v>
      </c>
      <c r="I24">
        <v>5</v>
      </c>
    </row>
    <row r="25" spans="1:10" x14ac:dyDescent="0.35">
      <c r="A25" s="2">
        <v>46203</v>
      </c>
      <c r="B25" t="s">
        <v>235</v>
      </c>
      <c r="C25" t="s">
        <v>65</v>
      </c>
      <c r="D25" t="s">
        <v>42</v>
      </c>
      <c r="E25" t="s">
        <v>32</v>
      </c>
      <c r="F25">
        <v>1</v>
      </c>
      <c r="G25">
        <v>12240</v>
      </c>
      <c r="H25">
        <v>12240</v>
      </c>
      <c r="I25">
        <v>200</v>
      </c>
    </row>
    <row r="26" spans="1:10" x14ac:dyDescent="0.35">
      <c r="A26" s="2">
        <v>46203</v>
      </c>
      <c r="B26" t="s">
        <v>235</v>
      </c>
      <c r="C26" t="s">
        <v>71</v>
      </c>
      <c r="D26" t="s">
        <v>42</v>
      </c>
      <c r="E26" t="s">
        <v>32</v>
      </c>
      <c r="F26">
        <v>1</v>
      </c>
      <c r="G26">
        <v>15580</v>
      </c>
      <c r="H26">
        <v>15580</v>
      </c>
      <c r="I26">
        <v>100</v>
      </c>
    </row>
    <row r="27" spans="1:10" x14ac:dyDescent="0.35">
      <c r="A27" s="2">
        <v>46203</v>
      </c>
      <c r="B27" t="s">
        <v>235</v>
      </c>
      <c r="C27" t="s">
        <v>76</v>
      </c>
      <c r="D27" t="s">
        <v>77</v>
      </c>
      <c r="E27" t="s">
        <v>32</v>
      </c>
      <c r="F27">
        <v>1</v>
      </c>
      <c r="G27">
        <v>9450</v>
      </c>
      <c r="H27">
        <v>9450</v>
      </c>
      <c r="I27">
        <v>300</v>
      </c>
    </row>
    <row r="28" spans="1:10" x14ac:dyDescent="0.35">
      <c r="A28" s="2">
        <v>46203</v>
      </c>
      <c r="B28" t="s">
        <v>91</v>
      </c>
      <c r="C28" t="s">
        <v>90</v>
      </c>
      <c r="D28" t="s">
        <v>91</v>
      </c>
      <c r="E28" t="s">
        <v>32</v>
      </c>
      <c r="F28">
        <v>1</v>
      </c>
      <c r="G28">
        <v>210000</v>
      </c>
      <c r="H28">
        <v>210000</v>
      </c>
      <c r="I28">
        <v>1</v>
      </c>
    </row>
    <row r="29" spans="1:10" x14ac:dyDescent="0.35">
      <c r="A29" s="2">
        <v>46203</v>
      </c>
      <c r="B29" t="s">
        <v>97</v>
      </c>
      <c r="C29" t="s">
        <v>96</v>
      </c>
      <c r="D29" t="s">
        <v>97</v>
      </c>
      <c r="E29" t="s">
        <v>32</v>
      </c>
      <c r="F29">
        <v>1</v>
      </c>
      <c r="G29">
        <v>94580.4</v>
      </c>
      <c r="H29">
        <v>94580.4</v>
      </c>
      <c r="I29">
        <v>1</v>
      </c>
    </row>
    <row r="30" spans="1:10" x14ac:dyDescent="0.35">
      <c r="A30" s="2">
        <v>46203</v>
      </c>
      <c r="B30" t="s">
        <v>237</v>
      </c>
      <c r="C30" t="s">
        <v>238</v>
      </c>
      <c r="D30" t="s">
        <v>237</v>
      </c>
      <c r="E30" t="s">
        <v>32</v>
      </c>
      <c r="F30">
        <v>1</v>
      </c>
      <c r="G30">
        <v>5800</v>
      </c>
      <c r="H30">
        <v>5800</v>
      </c>
      <c r="I30"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tabSelected="1" zoomScaleNormal="100" workbookViewId="0">
      <selection activeCell="J10" sqref="J10"/>
    </sheetView>
  </sheetViews>
  <sheetFormatPr defaultColWidth="8.6328125" defaultRowHeight="14.5" x14ac:dyDescent="0.35"/>
  <cols>
    <col min="1" max="1" width="19.26953125" customWidth="1"/>
    <col min="2" max="2" width="17" customWidth="1"/>
    <col min="3" max="3" width="17.36328125" customWidth="1"/>
    <col min="4" max="4" width="14" customWidth="1"/>
    <col min="5" max="5" width="12" customWidth="1"/>
    <col min="6" max="6" width="28" customWidth="1"/>
  </cols>
  <sheetData>
    <row r="1" spans="1:6" x14ac:dyDescent="0.35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122</v>
      </c>
    </row>
    <row r="2" spans="1:6" x14ac:dyDescent="0.35">
      <c r="A2" s="2">
        <v>45361</v>
      </c>
      <c r="B2" t="s">
        <v>24</v>
      </c>
      <c r="C2">
        <v>1500</v>
      </c>
      <c r="D2">
        <v>30225</v>
      </c>
      <c r="E2">
        <v>20.149999999999999</v>
      </c>
      <c r="F2" t="s">
        <v>244</v>
      </c>
    </row>
    <row r="3" spans="1:6" x14ac:dyDescent="0.35">
      <c r="A3" s="2">
        <v>45505</v>
      </c>
      <c r="B3" t="s">
        <v>24</v>
      </c>
      <c r="C3">
        <v>1000</v>
      </c>
      <c r="D3">
        <v>19870</v>
      </c>
      <c r="E3">
        <v>19.87</v>
      </c>
      <c r="F3" t="s">
        <v>245</v>
      </c>
    </row>
    <row r="4" spans="1:6" x14ac:dyDescent="0.35">
      <c r="A4" s="2">
        <v>45573</v>
      </c>
      <c r="B4" t="s">
        <v>24</v>
      </c>
      <c r="C4">
        <v>1300</v>
      </c>
      <c r="D4">
        <v>26000</v>
      </c>
      <c r="E4">
        <v>20</v>
      </c>
      <c r="F4" t="s">
        <v>246</v>
      </c>
    </row>
    <row r="5" spans="1:6" x14ac:dyDescent="0.35">
      <c r="A5" s="2">
        <v>45667</v>
      </c>
      <c r="B5" t="s">
        <v>24</v>
      </c>
      <c r="C5">
        <v>450</v>
      </c>
      <c r="D5">
        <v>9189</v>
      </c>
      <c r="E5">
        <v>20.420000000000002</v>
      </c>
      <c r="F5" t="s">
        <v>247</v>
      </c>
    </row>
    <row r="6" spans="1:6" x14ac:dyDescent="0.35">
      <c r="A6" s="2">
        <v>45717</v>
      </c>
      <c r="B6" t="s">
        <v>24</v>
      </c>
      <c r="C6">
        <v>170</v>
      </c>
      <c r="D6">
        <v>3471.4</v>
      </c>
      <c r="E6">
        <v>20.420000000000002</v>
      </c>
      <c r="F6" t="s">
        <v>248</v>
      </c>
    </row>
    <row r="7" spans="1:6" x14ac:dyDescent="0.35">
      <c r="A7" s="2">
        <v>45762</v>
      </c>
      <c r="B7" t="s">
        <v>24</v>
      </c>
      <c r="C7">
        <v>200</v>
      </c>
      <c r="D7">
        <v>3974</v>
      </c>
      <c r="E7">
        <v>19.87</v>
      </c>
      <c r="F7" t="s">
        <v>249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Dim_Assets</vt:lpstr>
      <vt:lpstr>Dim_FXRates</vt:lpstr>
      <vt:lpstr>Fact_Transactions</vt:lpstr>
      <vt:lpstr>Fact_CurrentPrices</vt:lpstr>
      <vt:lpstr>Fact_Dividends</vt:lpstr>
      <vt:lpstr>Fact_FixedIncome</vt:lpstr>
      <vt:lpstr>Fact_PortfolioSnapshot</vt:lpstr>
      <vt:lpstr>Fact_FXTransactions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JIMENEZ JUAREZ Salvador</cp:lastModifiedBy>
  <cp:revision>0</cp:revision>
  <dcterms:created xsi:type="dcterms:W3CDTF">2026-07-17T16:39:56Z</dcterms:created>
  <dcterms:modified xsi:type="dcterms:W3CDTF">2026-07-20T14:33:04Z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7af453fe-f25b-47f0-82b3-6a5cfa81aa46</vt:lpwstr>
  </property>
</Properties>
</file>